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a\Documents\"/>
    </mc:Choice>
  </mc:AlternateContent>
  <xr:revisionPtr revIDLastSave="0" documentId="13_ncr:1_{2DEF7FAD-7C66-4505-921D-EC37E541EC92}" xr6:coauthVersionLast="47" xr6:coauthVersionMax="47" xr10:uidLastSave="{00000000-0000-0000-0000-000000000000}"/>
  <bookViews>
    <workbookView xWindow="-98" yWindow="-98" windowWidth="21795" windowHeight="12975" xr2:uid="{00D3DEE9-E5D8-4D2F-A379-E8B98438BAEE}"/>
  </bookViews>
  <sheets>
    <sheet name="REPORT NILAI (2)" sheetId="6" r:id="rId1"/>
  </sheets>
  <definedNames>
    <definedName name="_xlnm._FilterDatabase" localSheetId="0" hidden="1">'REPORT NILAI (2)'!$A$3:$E$90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6" i="6" l="1"/>
  <c r="O9" i="6"/>
  <c r="P9" i="6" s="1"/>
  <c r="O6" i="6"/>
  <c r="P6" i="6" s="1"/>
  <c r="O5" i="6"/>
  <c r="P5" i="6" s="1"/>
  <c r="O4" i="6"/>
  <c r="P4" i="6" s="1"/>
  <c r="O90" i="6"/>
  <c r="P90" i="6" s="1"/>
  <c r="O89" i="6"/>
  <c r="P89" i="6" s="1"/>
  <c r="O88" i="6"/>
  <c r="P88" i="6" s="1"/>
  <c r="O87" i="6"/>
  <c r="P87" i="6" s="1"/>
  <c r="O86" i="6"/>
  <c r="P86" i="6" s="1"/>
  <c r="O85" i="6"/>
  <c r="P85" i="6" s="1"/>
  <c r="O84" i="6"/>
  <c r="P84" i="6" s="1"/>
  <c r="O83" i="6"/>
  <c r="P83" i="6" s="1"/>
  <c r="O82" i="6"/>
  <c r="P82" i="6" s="1"/>
  <c r="O81" i="6"/>
  <c r="P81" i="6" s="1"/>
  <c r="O80" i="6"/>
  <c r="P80" i="6" s="1"/>
  <c r="O79" i="6"/>
  <c r="P79" i="6" s="1"/>
  <c r="O78" i="6"/>
  <c r="P78" i="6" s="1"/>
  <c r="O77" i="6"/>
  <c r="P77" i="6" s="1"/>
  <c r="O76" i="6"/>
  <c r="P76" i="6" s="1"/>
  <c r="O75" i="6"/>
  <c r="P75" i="6" s="1"/>
  <c r="O74" i="6"/>
  <c r="P74" i="6" s="1"/>
  <c r="O73" i="6"/>
  <c r="P73" i="6" s="1"/>
  <c r="O72" i="6"/>
  <c r="P72" i="6" s="1"/>
  <c r="O71" i="6"/>
  <c r="P71" i="6" s="1"/>
  <c r="O70" i="6"/>
  <c r="P70" i="6" s="1"/>
  <c r="O69" i="6"/>
  <c r="P69" i="6" s="1"/>
  <c r="O68" i="6"/>
  <c r="P68" i="6" s="1"/>
  <c r="O67" i="6"/>
  <c r="P67" i="6" s="1"/>
  <c r="P66" i="6"/>
  <c r="O65" i="6"/>
  <c r="P65" i="6" s="1"/>
  <c r="O64" i="6"/>
  <c r="P64" i="6" s="1"/>
  <c r="O63" i="6"/>
  <c r="P63" i="6" s="1"/>
  <c r="O62" i="6"/>
  <c r="P62" i="6" s="1"/>
  <c r="O61" i="6"/>
  <c r="P61" i="6" s="1"/>
  <c r="O60" i="6"/>
  <c r="P60" i="6" s="1"/>
  <c r="O59" i="6"/>
  <c r="P59" i="6" s="1"/>
  <c r="O58" i="6"/>
  <c r="P58" i="6" s="1"/>
  <c r="O57" i="6"/>
  <c r="P57" i="6" s="1"/>
  <c r="O56" i="6"/>
  <c r="P56" i="6" s="1"/>
  <c r="O55" i="6"/>
  <c r="P55" i="6" s="1"/>
  <c r="O54" i="6"/>
  <c r="P54" i="6" s="1"/>
  <c r="O53" i="6"/>
  <c r="P53" i="6" s="1"/>
  <c r="O52" i="6"/>
  <c r="P52" i="6" s="1"/>
  <c r="O51" i="6"/>
  <c r="P51" i="6" s="1"/>
  <c r="O50" i="6"/>
  <c r="P50" i="6" s="1"/>
  <c r="O49" i="6"/>
  <c r="P49" i="6" s="1"/>
  <c r="O48" i="6"/>
  <c r="P48" i="6" s="1"/>
  <c r="O47" i="6"/>
  <c r="P47" i="6" s="1"/>
  <c r="O46" i="6"/>
  <c r="P46" i="6" s="1"/>
  <c r="O45" i="6"/>
  <c r="P45" i="6" s="1"/>
  <c r="O44" i="6"/>
  <c r="P44" i="6" s="1"/>
  <c r="O43" i="6"/>
  <c r="P43" i="6" s="1"/>
  <c r="O42" i="6"/>
  <c r="P42" i="6" s="1"/>
  <c r="O41" i="6"/>
  <c r="P41" i="6" s="1"/>
  <c r="O40" i="6"/>
  <c r="P40" i="6" s="1"/>
  <c r="O39" i="6"/>
  <c r="P39" i="6" s="1"/>
  <c r="O38" i="6"/>
  <c r="P38" i="6" s="1"/>
  <c r="O37" i="6"/>
  <c r="P37" i="6" s="1"/>
  <c r="O36" i="6"/>
  <c r="P36" i="6" s="1"/>
  <c r="O35" i="6"/>
  <c r="P35" i="6" s="1"/>
  <c r="O34" i="6"/>
  <c r="P34" i="6" s="1"/>
  <c r="O33" i="6"/>
  <c r="P33" i="6" s="1"/>
  <c r="O32" i="6"/>
  <c r="P32" i="6" s="1"/>
  <c r="O31" i="6"/>
  <c r="P31" i="6" s="1"/>
  <c r="O30" i="6"/>
  <c r="P30" i="6" s="1"/>
  <c r="O29" i="6"/>
  <c r="P29" i="6" s="1"/>
  <c r="O28" i="6"/>
  <c r="P28" i="6" s="1"/>
  <c r="O27" i="6"/>
  <c r="P27" i="6" s="1"/>
  <c r="O26" i="6"/>
  <c r="P26" i="6" s="1"/>
  <c r="O25" i="6"/>
  <c r="P25" i="6" s="1"/>
  <c r="O24" i="6"/>
  <c r="P24" i="6" s="1"/>
  <c r="O23" i="6"/>
  <c r="P23" i="6" s="1"/>
  <c r="O22" i="6"/>
  <c r="P22" i="6" s="1"/>
  <c r="O21" i="6"/>
  <c r="P21" i="6" s="1"/>
  <c r="O20" i="6"/>
  <c r="P20" i="6" s="1"/>
  <c r="O19" i="6"/>
  <c r="P19" i="6" s="1"/>
  <c r="O18" i="6"/>
  <c r="P18" i="6" s="1"/>
  <c r="O17" i="6"/>
  <c r="P17" i="6" s="1"/>
  <c r="O16" i="6"/>
  <c r="P16" i="6" s="1"/>
  <c r="O15" i="6"/>
  <c r="P15" i="6" s="1"/>
  <c r="O14" i="6"/>
  <c r="P14" i="6" s="1"/>
  <c r="O13" i="6"/>
  <c r="P13" i="6" s="1"/>
  <c r="O12" i="6"/>
  <c r="P12" i="6" s="1"/>
  <c r="O11" i="6"/>
  <c r="P11" i="6" s="1"/>
  <c r="O10" i="6"/>
  <c r="P10" i="6" s="1"/>
  <c r="O8" i="6"/>
  <c r="P8" i="6" s="1"/>
  <c r="O7" i="6"/>
  <c r="P7" i="6" s="1"/>
  <c r="A5" i="6"/>
  <c r="A6" i="6" l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</calcChain>
</file>

<file path=xl/sharedStrings.xml><?xml version="1.0" encoding="utf-8"?>
<sst xmlns="http://schemas.openxmlformats.org/spreadsheetml/2006/main" count="382" uniqueCount="243">
  <si>
    <t>NO</t>
  </si>
  <si>
    <t>NAMA</t>
  </si>
  <si>
    <t>JABATAN</t>
  </si>
  <si>
    <t>CABANG</t>
  </si>
  <si>
    <t>APRIL</t>
  </si>
  <si>
    <t>MEI</t>
  </si>
  <si>
    <t>JUNI</t>
  </si>
  <si>
    <t>JULI</t>
  </si>
  <si>
    <t>AGUST</t>
  </si>
  <si>
    <t>SEPT</t>
  </si>
  <si>
    <t>NOV</t>
  </si>
  <si>
    <t>OKT</t>
  </si>
  <si>
    <t>DES</t>
  </si>
  <si>
    <t>Bernadetta Criselly Edli</t>
  </si>
  <si>
    <t>Fa'iq Rizqullah</t>
  </si>
  <si>
    <t>Virza Ricaliyanto</t>
  </si>
  <si>
    <t>Anton Supriyadi</t>
  </si>
  <si>
    <t>Igo Fitrah Setianda</t>
  </si>
  <si>
    <t>Alansyah Maulana</t>
  </si>
  <si>
    <t>Sukma Agus Pradipta</t>
  </si>
  <si>
    <t>Martha Kurniawati</t>
  </si>
  <si>
    <t>Stephanus Fajar Chrisardhita</t>
  </si>
  <si>
    <t>Tiurmaida Margaretta S. Sirait</t>
  </si>
  <si>
    <t>Lita Sulfiana</t>
  </si>
  <si>
    <t>Lukman Hakim Ferdiansyah</t>
  </si>
  <si>
    <t>Muhammad Ganang Januarsah</t>
  </si>
  <si>
    <t>Avinto Alham Anshori</t>
  </si>
  <si>
    <t>Ardan Farid Hariyanto</t>
  </si>
  <si>
    <t>Febriadi</t>
  </si>
  <si>
    <t>Dicky Glegar Risky</t>
  </si>
  <si>
    <t>Tarissa Alif Novelia</t>
  </si>
  <si>
    <t>Afin Yazandi</t>
  </si>
  <si>
    <t>Robith Ainul Yaqin</t>
  </si>
  <si>
    <t>M. Akbar Gilang Ramadhan</t>
  </si>
  <si>
    <t>Ignasius Baltasar Jou</t>
  </si>
  <si>
    <t>Melinda Tri Hidayah</t>
  </si>
  <si>
    <t>Moch. Aditya Saputra</t>
  </si>
  <si>
    <t>Berlian Panji Immanuel</t>
  </si>
  <si>
    <t>Lana Carrisa Ghea</t>
  </si>
  <si>
    <t>Dea Valencia Ferdinanda</t>
  </si>
  <si>
    <t>Alfu Alfi Saidah</t>
  </si>
  <si>
    <t>Excel Ariel Firansyah</t>
  </si>
  <si>
    <t>Fitriani Setiawan</t>
  </si>
  <si>
    <t>Bagas Prasetya Ardiansya</t>
  </si>
  <si>
    <t>Astrid Devyannnie</t>
  </si>
  <si>
    <t>Rizki Agung Saputra</t>
  </si>
  <si>
    <t>Vino Antori Andrian</t>
  </si>
  <si>
    <t>Dikky Suariyanto</t>
  </si>
  <si>
    <t>Claudya Cardinella</t>
  </si>
  <si>
    <t>Yohanes Hardiyanto Budiman</t>
  </si>
  <si>
    <t>Zahro Shafira Fitra Fadhillah</t>
  </si>
  <si>
    <t>Pop-up</t>
  </si>
  <si>
    <t>Bandung</t>
  </si>
  <si>
    <t>Grand Pakuwon</t>
  </si>
  <si>
    <t>Kahuripan</t>
  </si>
  <si>
    <t>Demak</t>
  </si>
  <si>
    <t>Malang</t>
  </si>
  <si>
    <t>Medaeng</t>
  </si>
  <si>
    <t>Mojokerto</t>
  </si>
  <si>
    <t>Crew Store</t>
  </si>
  <si>
    <t>TOTAL SCORE</t>
  </si>
  <si>
    <t>Rafli Isa Gany</t>
  </si>
  <si>
    <t>Mojosari</t>
  </si>
  <si>
    <t>Reno Renata</t>
  </si>
  <si>
    <t>Della Elvara Shanti</t>
  </si>
  <si>
    <t>Fani Sulkarnain</t>
  </si>
  <si>
    <t>Mohamad Calvin Shabana</t>
  </si>
  <si>
    <t>Satria Wicaksono</t>
  </si>
  <si>
    <t>Umi Besan</t>
  </si>
  <si>
    <t>Deni Agustian (Gerry)</t>
  </si>
  <si>
    <t>Erik Setiawan</t>
  </si>
  <si>
    <t>Aventus Biron</t>
  </si>
  <si>
    <t>Yudis Ari Firmansyah</t>
  </si>
  <si>
    <t>Anjas Setiawan</t>
  </si>
  <si>
    <t>Sandy Dharma Arrayan</t>
  </si>
  <si>
    <t>Agung Dwi Sosiawan</t>
  </si>
  <si>
    <t>Aldo Dwi Saputro</t>
  </si>
  <si>
    <t>Suwandi</t>
  </si>
  <si>
    <t>Aldiansah</t>
  </si>
  <si>
    <t>Moh. Rifqi Firdaus</t>
  </si>
  <si>
    <t>Tegar Mohammad Arif Wicaksono</t>
  </si>
  <si>
    <t>Muhammad Ariel Ferdiansyah</t>
  </si>
  <si>
    <t>Anugrah Riswandana</t>
  </si>
  <si>
    <t>Yon Syafouridzal</t>
  </si>
  <si>
    <t>Intan Windah Sari</t>
  </si>
  <si>
    <t>Agra Pratama Aji</t>
  </si>
  <si>
    <t>Dini Islami Damasari</t>
  </si>
  <si>
    <t>Eny Fantin Sunarya</t>
  </si>
  <si>
    <t>Andika Santo Suhirman</t>
  </si>
  <si>
    <t>Artika Silvi Manalu</t>
  </si>
  <si>
    <t>Muhammad Miftakhul Rifan</t>
  </si>
  <si>
    <t>Moch Syamsoe Afrizal</t>
  </si>
  <si>
    <t>Ayu Davieta Putri Nugroho</t>
  </si>
  <si>
    <t>Theresa Lintang</t>
  </si>
  <si>
    <t>Moch Rochman</t>
  </si>
  <si>
    <t>Reza Ardi Pratama</t>
  </si>
  <si>
    <t>Danar Zabai Al Amien</t>
  </si>
  <si>
    <t>Merr Sukolilo</t>
  </si>
  <si>
    <t>Pakuwon City</t>
  </si>
  <si>
    <t>Bali</t>
  </si>
  <si>
    <t>REKAPITULASI KEY PERFORMANCE INDIKATOR</t>
  </si>
  <si>
    <t>HMN.0007</t>
  </si>
  <si>
    <t>HMN.0008</t>
  </si>
  <si>
    <t>HMN.0009</t>
  </si>
  <si>
    <t>HMN.0011</t>
  </si>
  <si>
    <t>HMN.0012</t>
  </si>
  <si>
    <t>HMN.0020</t>
  </si>
  <si>
    <t>HMN.0022</t>
  </si>
  <si>
    <t>HMN.0023</t>
  </si>
  <si>
    <t>HMN.0024</t>
  </si>
  <si>
    <t>HMN.0029</t>
  </si>
  <si>
    <t>M Haikal Hajjan Aryo Bimo</t>
  </si>
  <si>
    <t>DMK.0002</t>
  </si>
  <si>
    <t>DMK.0005</t>
  </si>
  <si>
    <t>DMK.0006</t>
  </si>
  <si>
    <t>Syaifuddin Ali</t>
  </si>
  <si>
    <t>MLG.0001</t>
  </si>
  <si>
    <t>MLG.0004</t>
  </si>
  <si>
    <t>MLG.0005</t>
  </si>
  <si>
    <t>MLG.0006</t>
  </si>
  <si>
    <t>MC.0007</t>
  </si>
  <si>
    <t>MC.0012</t>
  </si>
  <si>
    <t>MC.0013</t>
  </si>
  <si>
    <t>MC.0023</t>
  </si>
  <si>
    <t>MC.0031</t>
  </si>
  <si>
    <t>MC.0038</t>
  </si>
  <si>
    <t>MC.0042</t>
  </si>
  <si>
    <t>MC.0049</t>
  </si>
  <si>
    <t>MC.0050</t>
  </si>
  <si>
    <t>MC.0052</t>
  </si>
  <si>
    <t>MC.0054</t>
  </si>
  <si>
    <t>MC.0055</t>
  </si>
  <si>
    <t>MC.0056</t>
  </si>
  <si>
    <t>MC.0058</t>
  </si>
  <si>
    <t>MC.0059</t>
  </si>
  <si>
    <t>MC.0068</t>
  </si>
  <si>
    <t>MC.0073</t>
  </si>
  <si>
    <t>MC.0074</t>
  </si>
  <si>
    <t>MC.0077</t>
  </si>
  <si>
    <t>MC.0078</t>
  </si>
  <si>
    <t>MC.0079</t>
  </si>
  <si>
    <t>MC.0083</t>
  </si>
  <si>
    <t>MC.0084</t>
  </si>
  <si>
    <t>MC.0089</t>
  </si>
  <si>
    <t>MC.0090</t>
  </si>
  <si>
    <t>MC.0092</t>
  </si>
  <si>
    <t>MC.0093</t>
  </si>
  <si>
    <t>MC.0094</t>
  </si>
  <si>
    <t>MC.0098</t>
  </si>
  <si>
    <t>MC.0101</t>
  </si>
  <si>
    <t>MC.0102</t>
  </si>
  <si>
    <t>MC.0103</t>
  </si>
  <si>
    <t>MC.0105</t>
  </si>
  <si>
    <t>MC.0107</t>
  </si>
  <si>
    <t>MC.0108</t>
  </si>
  <si>
    <t>MC.0110</t>
  </si>
  <si>
    <t>MC.0111</t>
  </si>
  <si>
    <t>MC.0113</t>
  </si>
  <si>
    <t>MC.0114</t>
  </si>
  <si>
    <t>MC.0116</t>
  </si>
  <si>
    <t>MC.0115</t>
  </si>
  <si>
    <t>MC.0118</t>
  </si>
  <si>
    <t>MC.0119</t>
  </si>
  <si>
    <t>MC.0201</t>
  </si>
  <si>
    <t>MC.0202</t>
  </si>
  <si>
    <t>MC.0204</t>
  </si>
  <si>
    <t>MC.0206</t>
  </si>
  <si>
    <t>MC.0207</t>
  </si>
  <si>
    <t>MC.0209</t>
  </si>
  <si>
    <t>Hendra Octaviarsa M.P</t>
  </si>
  <si>
    <t>MC.0210</t>
  </si>
  <si>
    <t>Hesti Yulianing Tyas</t>
  </si>
  <si>
    <t>MC.2011</t>
  </si>
  <si>
    <t>MC.2013</t>
  </si>
  <si>
    <t>Ferdian Rizkyansyah</t>
  </si>
  <si>
    <t>MC.2014</t>
  </si>
  <si>
    <t>Adam Alifandra Khalifah</t>
  </si>
  <si>
    <t>MC.2015</t>
  </si>
  <si>
    <t>Mohammad Putra Erdiansyah</t>
  </si>
  <si>
    <t>MC.2016</t>
  </si>
  <si>
    <t>Wafi Zaky Fauzani</t>
  </si>
  <si>
    <t>MC.2019</t>
  </si>
  <si>
    <t>Aulia Amanda Rosalin</t>
  </si>
  <si>
    <t>MC.2020</t>
  </si>
  <si>
    <t>Rohani Agustian</t>
  </si>
  <si>
    <t>MJO.0001</t>
  </si>
  <si>
    <t>MJO.0003</t>
  </si>
  <si>
    <t>MJO.0005</t>
  </si>
  <si>
    <t>MJS.0001</t>
  </si>
  <si>
    <t>MJS.005</t>
  </si>
  <si>
    <t>Moch. Ilham Bassan Tsany</t>
  </si>
  <si>
    <t>MJS.0002</t>
  </si>
  <si>
    <t>TNI.0012</t>
  </si>
  <si>
    <t>Ahmad Danny Saputra</t>
  </si>
  <si>
    <t>TNI.0014</t>
  </si>
  <si>
    <t>TNI.0015</t>
  </si>
  <si>
    <t>TNI.0016</t>
  </si>
  <si>
    <t>Farhan Harry Pratama</t>
  </si>
  <si>
    <t>KLD.0014</t>
  </si>
  <si>
    <t>KLD.0015</t>
  </si>
  <si>
    <t>KLD.0020</t>
  </si>
  <si>
    <t>I Nyoman Sergio Sanjaya</t>
  </si>
  <si>
    <t>NIK</t>
  </si>
  <si>
    <t>Admin Gudang</t>
  </si>
  <si>
    <t>Admin Online</t>
  </si>
  <si>
    <t>Staff Finance</t>
  </si>
  <si>
    <t>Supervisor Gudang</t>
  </si>
  <si>
    <t>Supervisor Store</t>
  </si>
  <si>
    <t>Driver</t>
  </si>
  <si>
    <t>Packing</t>
  </si>
  <si>
    <t>Kepala Driver</t>
  </si>
  <si>
    <t>Helper</t>
  </si>
  <si>
    <t>Kepala Store</t>
  </si>
  <si>
    <t>Kepala Gudang</t>
  </si>
  <si>
    <t>Staff Design</t>
  </si>
  <si>
    <t>Staff Purchasing</t>
  </si>
  <si>
    <t>Supervisor Design</t>
  </si>
  <si>
    <t>Staff HRD</t>
  </si>
  <si>
    <t>Seruni 40</t>
  </si>
  <si>
    <t>Head Quarter</t>
  </si>
  <si>
    <t>Citraland</t>
  </si>
  <si>
    <t>Twin 3A</t>
  </si>
  <si>
    <t>WK 42</t>
  </si>
  <si>
    <t>Gudang HJL</t>
  </si>
  <si>
    <t>Madiun</t>
  </si>
  <si>
    <t>Tipsy Tales Group</t>
  </si>
  <si>
    <t>RATING KPI</t>
  </si>
  <si>
    <t>🎨 VISUAL UTAMA YANG HARUS ADA DI DASHBOARD</t>
  </si>
  <si>
    <t>Jenis Visual</t>
  </si>
  <si>
    <t>Kegunaan</t>
  </si>
  <si>
    <t>Line Chart</t>
  </si>
  <si>
    <t>Tren rata-rata skor bulanan</t>
  </si>
  <si>
    <t>Bar Chart</t>
  </si>
  <si>
    <t>Rata-rata KPI per jabatan</t>
  </si>
  <si>
    <t>Horizontal Bar Chart</t>
  </si>
  <si>
    <t>Rata-rata KPI per cabang</t>
  </si>
  <si>
    <t>Pie Chart</t>
  </si>
  <si>
    <t>Persentase rating KPI</t>
  </si>
  <si>
    <t>Tabel Interaktif</t>
  </si>
  <si>
    <t>Data individu karyawan</t>
  </si>
  <si>
    <t>Highlight Cards</t>
  </si>
  <si>
    <t>Rata-rata skor, total karyawan, top performer</t>
  </si>
  <si>
    <t>Note : tolong buat secara menarik dan sebaik mungkin, dan jika ada penmabahan karyawan dan nilai, maka grafik akan mengikuti data terbaru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</si>
</sst>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mbria"/>
      <family val="1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i/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4" fillId="0" borderId="0" xfId="0" applyFont="1"/>
    <xf numFmtId="0" fontId="5" fillId="5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/>
    </xf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vertical="center"/>
    </xf>
    <xf numFmtId="0" fontId="5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5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10" fillId="0" borderId="0" xfId="0" applyFont="1" applyAlignment="1">
      <alignment horizontal="left"/>
    </xf>
    <xf numFmtId="0" fontId="3" fillId="12" borderId="0" xfId="0" applyFont="1" applyFill="1" applyAlignment="1">
      <alignment horizontal="center"/>
    </xf>
  </cellXfs>
  <cellStyles count="2">
    <cellStyle name="Normal" xfId="0" builtinId="0"/>
    <cellStyle name="Normal 13" xfId="1" xr:uid="{FF423617-C754-4C09-B341-1DD0D88ACAAC}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66"/>
      <color rgb="FFFF66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32406E-455F-4027-B1EA-6E7A5E03AD7F}" name="Table13" displayName="Table13" ref="A3:P90" totalsRowShown="0" headerRowDxfId="18" dataDxfId="17" tableBorderDxfId="16">
  <autoFilter ref="A3:P90" xr:uid="{49832E45-C684-4692-93D6-DC0493B54329}"/>
  <tableColumns count="16">
    <tableColumn id="1" xr3:uid="{D6B26EF8-2DC2-4E29-818C-528F4D2CCFF2}" name="NO" dataDxfId="15">
      <calculatedColumnFormula>1+A3</calculatedColumnFormula>
    </tableColumn>
    <tableColumn id="2" xr3:uid="{324AFE28-DDC4-4884-A16F-73B77069B8D3}" name="NIK" dataDxfId="14"/>
    <tableColumn id="3" xr3:uid="{C305DF07-2F73-42D1-B081-F50ABED6E0A7}" name="NAMA" dataDxfId="13"/>
    <tableColumn id="4" xr3:uid="{123AB2E7-39B4-434C-8F91-76F2ED5DB98D}" name="JABATAN" dataDxfId="12"/>
    <tableColumn id="5" xr3:uid="{C9D05ED8-EBF1-4196-AF1B-2E433DF56F7D}" name="CABANG" dataDxfId="11"/>
    <tableColumn id="6" xr3:uid="{BCCF1FB9-196A-4AAD-B6C4-943E7FE33F57}" name="APRIL" dataDxfId="10"/>
    <tableColumn id="7" xr3:uid="{E8D6A68E-A9A8-456B-86EA-73006C503AD8}" name="MEI" dataDxfId="9"/>
    <tableColumn id="8" xr3:uid="{043F65D4-8FB0-4AD1-9DB5-258D48AB1BBE}" name="JUNI" dataDxfId="8"/>
    <tableColumn id="9" xr3:uid="{1C316BA1-E33E-474D-B4D5-915E7C3EE086}" name="JULI" dataDxfId="7"/>
    <tableColumn id="10" xr3:uid="{9020950A-A2A3-41D1-ACCC-E6D76BD156F4}" name="AGUST" dataDxfId="6"/>
    <tableColumn id="11" xr3:uid="{E3B3F86A-E7B8-4461-B57B-5738DCCD75D3}" name="SEPT" dataDxfId="5"/>
    <tableColumn id="12" xr3:uid="{1F10B317-22F1-4356-9130-6BC8DDED194D}" name="OKT" dataDxfId="4"/>
    <tableColumn id="13" xr3:uid="{A3F30D0B-F55D-452D-8036-964A2FCBB2FA}" name="NOV" dataDxfId="3"/>
    <tableColumn id="14" xr3:uid="{6E124F6A-EABA-4528-A590-00AF229DD4D1}" name="DES" dataDxfId="2"/>
    <tableColumn id="15" xr3:uid="{04EC6AB3-B286-4C79-A8FC-FBBBDD695FDF}" name="TOTAL SCORE" dataDxfId="1">
      <calculatedColumnFormula>AVERAGE(Table13[[#This Row],[JUNI]:[AGUST]])</calculatedColumnFormula>
    </tableColumn>
    <tableColumn id="16" xr3:uid="{6A2C1F9C-4660-420A-8B17-C0F65F9FBFCE}" name="RATING KPI" dataDxfId="0">
      <calculatedColumnFormula>IF(Table13[[#This Row],[TOTAL SCORE]]&gt;99,"Sangat Baik",IF(Table13[[#This Row],[TOTAL SCORE]]&gt;70,"Baik",IF(Table13[[#This Row],[TOTAL SCORE]]&gt;50,"Cukup",IF(Table13[[#This Row],[TOTAL SCORE]]&gt;30,"Kurang","Kurang"))))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3A1C-7346-44CB-A8E0-5B135E383C4E}">
  <dimension ref="A1:P102"/>
  <sheetViews>
    <sheetView showGridLines="0" tabSelected="1" workbookViewId="0">
      <pane ySplit="3" topLeftCell="A23" activePane="bottomLeft" state="frozen"/>
      <selection pane="bottomLeft" activeCell="B102" sqref="B102"/>
    </sheetView>
  </sheetViews>
  <sheetFormatPr defaultColWidth="9.1328125" defaultRowHeight="13.9" x14ac:dyDescent="0.4"/>
  <cols>
    <col min="1" max="1" width="9.1328125" style="1"/>
    <col min="2" max="2" width="20" style="1" customWidth="1"/>
    <col min="3" max="3" width="44.265625" style="1" customWidth="1"/>
    <col min="4" max="4" width="22" style="1" customWidth="1"/>
    <col min="5" max="5" width="16.59765625" style="1" customWidth="1"/>
    <col min="6" max="6" width="11" style="1" customWidth="1"/>
    <col min="7" max="9" width="11.59765625" style="1" customWidth="1"/>
    <col min="10" max="10" width="11.59765625" style="18" customWidth="1"/>
    <col min="11" max="14" width="11.59765625" style="1" customWidth="1"/>
    <col min="15" max="15" width="19" style="1" customWidth="1"/>
    <col min="16" max="16" width="22.86328125" style="18" bestFit="1" customWidth="1"/>
    <col min="17" max="16384" width="9.1328125" style="1"/>
  </cols>
  <sheetData>
    <row r="1" spans="1:16" ht="24.75" customHeight="1" x14ac:dyDescent="0.65">
      <c r="A1" s="30" t="s">
        <v>100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24.75" x14ac:dyDescent="0.65">
      <c r="A2" s="30" t="s">
        <v>225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 ht="32.25" customHeight="1" x14ac:dyDescent="0.4">
      <c r="A3" s="19" t="s">
        <v>0</v>
      </c>
      <c r="B3" s="3" t="s">
        <v>202</v>
      </c>
      <c r="C3" s="3" t="s">
        <v>1</v>
      </c>
      <c r="D3" s="22" t="s">
        <v>2</v>
      </c>
      <c r="E3" s="22" t="s">
        <v>3</v>
      </c>
      <c r="F3" s="15" t="s">
        <v>4</v>
      </c>
      <c r="G3" s="4" t="s">
        <v>5</v>
      </c>
      <c r="H3" s="5" t="s">
        <v>6</v>
      </c>
      <c r="I3" s="2" t="s">
        <v>7</v>
      </c>
      <c r="J3" s="6" t="s">
        <v>8</v>
      </c>
      <c r="K3" s="7" t="s">
        <v>9</v>
      </c>
      <c r="L3" s="8" t="s">
        <v>11</v>
      </c>
      <c r="M3" s="9" t="s">
        <v>10</v>
      </c>
      <c r="N3" s="14" t="s">
        <v>12</v>
      </c>
      <c r="O3" s="23" t="s">
        <v>60</v>
      </c>
      <c r="P3" s="3" t="s">
        <v>226</v>
      </c>
    </row>
    <row r="4" spans="1:16" s="12" customFormat="1" ht="15.4" x14ac:dyDescent="0.45">
      <c r="A4" s="20">
        <v>1</v>
      </c>
      <c r="B4" s="10" t="s">
        <v>101</v>
      </c>
      <c r="C4" s="10" t="s">
        <v>44</v>
      </c>
      <c r="D4" s="11" t="s">
        <v>59</v>
      </c>
      <c r="E4" s="11" t="s">
        <v>220</v>
      </c>
      <c r="F4" s="16">
        <v>83</v>
      </c>
      <c r="G4" s="16">
        <v>91</v>
      </c>
      <c r="H4" s="16">
        <v>88</v>
      </c>
      <c r="I4" s="16">
        <v>75</v>
      </c>
      <c r="J4" s="16">
        <v>80</v>
      </c>
      <c r="K4" s="16"/>
      <c r="L4" s="16"/>
      <c r="M4" s="16"/>
      <c r="N4" s="16"/>
      <c r="O4" s="21">
        <f>AVERAGE(Table13[[#This Row],[APRIL]:[DES]])</f>
        <v>83.4</v>
      </c>
      <c r="P4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5" spans="1:16" s="12" customFormat="1" ht="15.4" x14ac:dyDescent="0.45">
      <c r="A5" s="20">
        <f t="shared" ref="A5:A68" si="0">1+A4</f>
        <v>2</v>
      </c>
      <c r="B5" s="10" t="s">
        <v>102</v>
      </c>
      <c r="C5" s="10" t="s">
        <v>64</v>
      </c>
      <c r="D5" s="11" t="s">
        <v>203</v>
      </c>
      <c r="E5" s="11" t="s">
        <v>221</v>
      </c>
      <c r="F5" s="17"/>
      <c r="G5" s="17"/>
      <c r="H5" s="17"/>
      <c r="I5" s="17"/>
      <c r="J5" s="16">
        <v>90</v>
      </c>
      <c r="K5" s="16"/>
      <c r="L5" s="16"/>
      <c r="M5" s="16"/>
      <c r="N5" s="16"/>
      <c r="O5" s="21">
        <f>AVERAGE(Table13[[#This Row],[AGUST]:[DES]])</f>
        <v>90</v>
      </c>
      <c r="P5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6" spans="1:16" s="12" customFormat="1" ht="15.4" x14ac:dyDescent="0.45">
      <c r="A6" s="20">
        <f t="shared" si="0"/>
        <v>3</v>
      </c>
      <c r="B6" s="10" t="s">
        <v>103</v>
      </c>
      <c r="C6" s="10" t="s">
        <v>21</v>
      </c>
      <c r="D6" s="11" t="s">
        <v>59</v>
      </c>
      <c r="E6" s="11" t="s">
        <v>97</v>
      </c>
      <c r="F6" s="16">
        <v>65</v>
      </c>
      <c r="G6" s="16">
        <v>70</v>
      </c>
      <c r="H6" s="16">
        <v>69</v>
      </c>
      <c r="I6" s="16">
        <v>70</v>
      </c>
      <c r="J6" s="16">
        <v>75</v>
      </c>
      <c r="K6" s="11"/>
      <c r="L6" s="11"/>
      <c r="M6" s="11"/>
      <c r="N6" s="11"/>
      <c r="O6" s="21">
        <f>AVERAGE(Table13[[#This Row],[APRIL]:[DES]])</f>
        <v>69.8</v>
      </c>
      <c r="P6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7" spans="1:16" s="12" customFormat="1" ht="15.4" x14ac:dyDescent="0.45">
      <c r="A7" s="20">
        <f t="shared" si="0"/>
        <v>4</v>
      </c>
      <c r="B7" s="10" t="s">
        <v>104</v>
      </c>
      <c r="C7" s="10" t="s">
        <v>65</v>
      </c>
      <c r="D7" s="11" t="s">
        <v>206</v>
      </c>
      <c r="E7" s="11" t="s">
        <v>222</v>
      </c>
      <c r="F7" s="17">
        <v>0</v>
      </c>
      <c r="G7" s="17">
        <v>0</v>
      </c>
      <c r="H7" s="17">
        <v>0</v>
      </c>
      <c r="I7" s="17">
        <v>0</v>
      </c>
      <c r="J7" s="16">
        <v>72</v>
      </c>
      <c r="K7" s="16"/>
      <c r="L7" s="16"/>
      <c r="M7" s="16"/>
      <c r="N7" s="16"/>
      <c r="O7" s="21">
        <f>AVERAGE(Table13[[#This Row],[AGUST]:[DES]])</f>
        <v>72</v>
      </c>
      <c r="P7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8" spans="1:16" s="12" customFormat="1" ht="15.4" x14ac:dyDescent="0.45">
      <c r="A8" s="20">
        <f t="shared" si="0"/>
        <v>5</v>
      </c>
      <c r="B8" s="10" t="s">
        <v>105</v>
      </c>
      <c r="C8" s="10" t="s">
        <v>66</v>
      </c>
      <c r="D8" s="11" t="s">
        <v>204</v>
      </c>
      <c r="E8" s="11" t="s">
        <v>221</v>
      </c>
      <c r="F8" s="17"/>
      <c r="G8" s="17"/>
      <c r="H8" s="17"/>
      <c r="I8" s="17"/>
      <c r="J8" s="16">
        <v>87</v>
      </c>
      <c r="K8" s="16"/>
      <c r="L8" s="16"/>
      <c r="M8" s="16"/>
      <c r="N8" s="16"/>
      <c r="O8" s="21">
        <f>AVERAGE(Table13[[#This Row],[AGUST]:[DES]])</f>
        <v>87</v>
      </c>
      <c r="P8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9" spans="1:16" s="12" customFormat="1" ht="15.4" x14ac:dyDescent="0.45">
      <c r="A9" s="20">
        <f t="shared" si="0"/>
        <v>6</v>
      </c>
      <c r="B9" s="10" t="s">
        <v>106</v>
      </c>
      <c r="C9" s="10" t="s">
        <v>36</v>
      </c>
      <c r="D9" s="11" t="s">
        <v>207</v>
      </c>
      <c r="E9" s="11" t="s">
        <v>57</v>
      </c>
      <c r="F9" s="16">
        <v>65</v>
      </c>
      <c r="G9" s="16">
        <v>63</v>
      </c>
      <c r="H9" s="16">
        <v>65</v>
      </c>
      <c r="I9" s="16">
        <v>69</v>
      </c>
      <c r="J9" s="16">
        <v>81</v>
      </c>
      <c r="K9" s="11"/>
      <c r="L9" s="11"/>
      <c r="M9" s="11"/>
      <c r="N9" s="11"/>
      <c r="O9" s="21">
        <f>AVERAGE(Table13[[#This Row],[APRIL]:[DES]])</f>
        <v>68.599999999999994</v>
      </c>
      <c r="P9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10" spans="1:16" s="12" customFormat="1" ht="15.4" x14ac:dyDescent="0.45">
      <c r="A10" s="20">
        <f t="shared" si="0"/>
        <v>7</v>
      </c>
      <c r="B10" s="10" t="s">
        <v>107</v>
      </c>
      <c r="C10" s="10" t="s">
        <v>37</v>
      </c>
      <c r="D10" s="11" t="s">
        <v>59</v>
      </c>
      <c r="E10" s="11" t="s">
        <v>57</v>
      </c>
      <c r="F10" s="16">
        <v>71</v>
      </c>
      <c r="G10" s="16">
        <v>66</v>
      </c>
      <c r="H10" s="16">
        <v>57</v>
      </c>
      <c r="I10" s="16">
        <v>63</v>
      </c>
      <c r="J10" s="16">
        <v>66</v>
      </c>
      <c r="K10" s="11"/>
      <c r="L10" s="11"/>
      <c r="M10" s="11"/>
      <c r="N10" s="11"/>
      <c r="O10" s="21">
        <f>AVERAGE(Table13[[#This Row],[APRIL]:[DES]])</f>
        <v>64.599999999999994</v>
      </c>
      <c r="P10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11" spans="1:16" s="12" customFormat="1" ht="15.4" x14ac:dyDescent="0.45">
      <c r="A11" s="20">
        <f t="shared" si="0"/>
        <v>8</v>
      </c>
      <c r="B11" s="10" t="s">
        <v>108</v>
      </c>
      <c r="C11" s="10" t="s">
        <v>38</v>
      </c>
      <c r="D11" s="11" t="s">
        <v>59</v>
      </c>
      <c r="E11" s="11" t="s">
        <v>57</v>
      </c>
      <c r="F11" s="16">
        <v>62</v>
      </c>
      <c r="G11" s="16">
        <v>66</v>
      </c>
      <c r="H11" s="16">
        <v>60</v>
      </c>
      <c r="I11" s="16">
        <v>65</v>
      </c>
      <c r="J11" s="16">
        <v>64</v>
      </c>
      <c r="K11" s="11"/>
      <c r="L11" s="11"/>
      <c r="M11" s="11"/>
      <c r="N11" s="11"/>
      <c r="O11" s="21">
        <f>AVERAGE(Table13[[#This Row],[APRIL]:[DES]])</f>
        <v>63.4</v>
      </c>
      <c r="P11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12" spans="1:16" s="12" customFormat="1" ht="15.4" x14ac:dyDescent="0.45">
      <c r="A12" s="20">
        <f t="shared" si="0"/>
        <v>9</v>
      </c>
      <c r="B12" s="10" t="s">
        <v>109</v>
      </c>
      <c r="C12" s="10" t="s">
        <v>39</v>
      </c>
      <c r="D12" s="11" t="s">
        <v>59</v>
      </c>
      <c r="E12" s="11" t="s">
        <v>57</v>
      </c>
      <c r="F12" s="16">
        <v>83</v>
      </c>
      <c r="G12" s="16">
        <v>69</v>
      </c>
      <c r="H12" s="16">
        <v>76</v>
      </c>
      <c r="I12" s="16">
        <v>78</v>
      </c>
      <c r="J12" s="16">
        <v>73</v>
      </c>
      <c r="K12" s="11"/>
      <c r="L12" s="11"/>
      <c r="M12" s="11"/>
      <c r="N12" s="11"/>
      <c r="O12" s="21">
        <f>AVERAGE(Table13[[#This Row],[APRIL]:[DES]])</f>
        <v>75.8</v>
      </c>
      <c r="P12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13" spans="1:16" s="12" customFormat="1" ht="15.4" x14ac:dyDescent="0.45">
      <c r="A13" s="20">
        <f t="shared" si="0"/>
        <v>10</v>
      </c>
      <c r="B13" s="13" t="s">
        <v>110</v>
      </c>
      <c r="C13" s="10" t="s">
        <v>111</v>
      </c>
      <c r="D13" s="11" t="s">
        <v>59</v>
      </c>
      <c r="E13" s="11" t="s">
        <v>57</v>
      </c>
      <c r="F13" s="17">
        <v>0</v>
      </c>
      <c r="G13" s="17">
        <v>0</v>
      </c>
      <c r="H13" s="17">
        <v>0</v>
      </c>
      <c r="I13" s="17">
        <v>0</v>
      </c>
      <c r="J13" s="16">
        <v>54</v>
      </c>
      <c r="K13" s="11"/>
      <c r="L13" s="11"/>
      <c r="M13" s="11"/>
      <c r="N13" s="11"/>
      <c r="O13" s="21">
        <f>AVERAGE(Table13[[#This Row],[AGUST]:[DES]])</f>
        <v>54</v>
      </c>
      <c r="P13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14" spans="1:16" s="12" customFormat="1" ht="15.4" x14ac:dyDescent="0.45">
      <c r="A14" s="20">
        <f t="shared" si="0"/>
        <v>11</v>
      </c>
      <c r="B14" s="13" t="s">
        <v>112</v>
      </c>
      <c r="C14" s="10" t="s">
        <v>32</v>
      </c>
      <c r="D14" s="11" t="s">
        <v>59</v>
      </c>
      <c r="E14" s="11" t="s">
        <v>55</v>
      </c>
      <c r="F14" s="16">
        <v>92</v>
      </c>
      <c r="G14" s="16">
        <v>78</v>
      </c>
      <c r="H14" s="16">
        <v>72</v>
      </c>
      <c r="I14" s="16">
        <v>73</v>
      </c>
      <c r="J14" s="16">
        <v>84</v>
      </c>
      <c r="K14" s="11"/>
      <c r="L14" s="11"/>
      <c r="M14" s="11"/>
      <c r="N14" s="11"/>
      <c r="O14" s="21">
        <f>AVERAGE(Table13[[#This Row],[APRIL]:[DES]])</f>
        <v>79.8</v>
      </c>
      <c r="P14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15" spans="1:16" s="12" customFormat="1" ht="15.4" x14ac:dyDescent="0.45">
      <c r="A15" s="20">
        <f t="shared" si="0"/>
        <v>12</v>
      </c>
      <c r="B15" s="13" t="s">
        <v>113</v>
      </c>
      <c r="C15" s="10" t="s">
        <v>33</v>
      </c>
      <c r="D15" s="11" t="s">
        <v>59</v>
      </c>
      <c r="E15" s="11" t="s">
        <v>55</v>
      </c>
      <c r="F15" s="16">
        <v>91</v>
      </c>
      <c r="G15" s="16">
        <v>79</v>
      </c>
      <c r="H15" s="16">
        <v>80</v>
      </c>
      <c r="I15" s="16">
        <v>75</v>
      </c>
      <c r="J15" s="16">
        <v>75</v>
      </c>
      <c r="K15" s="11"/>
      <c r="L15" s="11"/>
      <c r="M15" s="11"/>
      <c r="N15" s="11"/>
      <c r="O15" s="21">
        <f>AVERAGE(Table13[[#This Row],[APRIL]:[DES]])</f>
        <v>80</v>
      </c>
      <c r="P15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16" spans="1:16" s="12" customFormat="1" ht="15.4" x14ac:dyDescent="0.45">
      <c r="A16" s="20">
        <f t="shared" si="0"/>
        <v>13</v>
      </c>
      <c r="B16" s="13" t="s">
        <v>114</v>
      </c>
      <c r="C16" s="10" t="s">
        <v>115</v>
      </c>
      <c r="D16" s="11" t="s">
        <v>207</v>
      </c>
      <c r="E16" s="11" t="s">
        <v>55</v>
      </c>
      <c r="F16" s="16">
        <v>88</v>
      </c>
      <c r="G16" s="16">
        <v>93</v>
      </c>
      <c r="H16" s="16">
        <v>76</v>
      </c>
      <c r="I16" s="16">
        <v>71</v>
      </c>
      <c r="J16" s="16">
        <v>76</v>
      </c>
      <c r="K16" s="11"/>
      <c r="L16" s="11"/>
      <c r="M16" s="11"/>
      <c r="N16" s="11"/>
      <c r="O16" s="21">
        <f>AVERAGE(Table13[[#This Row],[APRIL]:[DES]])</f>
        <v>80.8</v>
      </c>
      <c r="P16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17" spans="1:16" s="12" customFormat="1" ht="15.4" x14ac:dyDescent="0.45">
      <c r="A17" s="20">
        <f t="shared" si="0"/>
        <v>14</v>
      </c>
      <c r="B17" s="13" t="s">
        <v>116</v>
      </c>
      <c r="C17" s="10" t="s">
        <v>34</v>
      </c>
      <c r="D17" s="11" t="s">
        <v>207</v>
      </c>
      <c r="E17" s="11" t="s">
        <v>56</v>
      </c>
      <c r="F17" s="16">
        <v>66</v>
      </c>
      <c r="G17" s="16">
        <v>84</v>
      </c>
      <c r="H17" s="16">
        <v>86</v>
      </c>
      <c r="I17" s="16">
        <v>83</v>
      </c>
      <c r="J17" s="16">
        <v>98</v>
      </c>
      <c r="K17" s="11"/>
      <c r="L17" s="11"/>
      <c r="M17" s="11"/>
      <c r="N17" s="11"/>
      <c r="O17" s="21">
        <f>AVERAGE(Table13[[#This Row],[APRIL]:[DES]])</f>
        <v>83.4</v>
      </c>
      <c r="P17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18" spans="1:16" s="12" customFormat="1" ht="15.4" x14ac:dyDescent="0.45">
      <c r="A18" s="20">
        <f t="shared" si="0"/>
        <v>15</v>
      </c>
      <c r="B18" s="13" t="s">
        <v>117</v>
      </c>
      <c r="C18" s="10" t="s">
        <v>35</v>
      </c>
      <c r="D18" s="11" t="s">
        <v>59</v>
      </c>
      <c r="E18" s="11" t="s">
        <v>56</v>
      </c>
      <c r="F18" s="16">
        <v>48</v>
      </c>
      <c r="G18" s="16">
        <v>67</v>
      </c>
      <c r="H18" s="16">
        <v>65</v>
      </c>
      <c r="I18" s="16">
        <v>70</v>
      </c>
      <c r="J18" s="16">
        <v>70</v>
      </c>
      <c r="K18" s="11"/>
      <c r="L18" s="11"/>
      <c r="M18" s="11"/>
      <c r="N18" s="11"/>
      <c r="O18" s="21">
        <f>AVERAGE(Table13[[#This Row],[APRIL]:[DES]])</f>
        <v>64</v>
      </c>
      <c r="P18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19" spans="1:16" s="12" customFormat="1" ht="15.4" x14ac:dyDescent="0.45">
      <c r="A19" s="20">
        <f t="shared" si="0"/>
        <v>16</v>
      </c>
      <c r="B19" s="13" t="s">
        <v>118</v>
      </c>
      <c r="C19" s="10" t="s">
        <v>63</v>
      </c>
      <c r="D19" s="11" t="s">
        <v>59</v>
      </c>
      <c r="E19" s="11" t="s">
        <v>56</v>
      </c>
      <c r="F19" s="17">
        <v>0</v>
      </c>
      <c r="G19" s="17">
        <v>0</v>
      </c>
      <c r="H19" s="16">
        <v>60</v>
      </c>
      <c r="I19" s="16">
        <v>68</v>
      </c>
      <c r="J19" s="16">
        <v>78</v>
      </c>
      <c r="K19" s="11"/>
      <c r="L19" s="11"/>
      <c r="M19" s="11"/>
      <c r="N19" s="11"/>
      <c r="O19" s="21">
        <f>AVERAGE(Table13[[#This Row],[JUNI]:[DES]])</f>
        <v>68.666666666666671</v>
      </c>
      <c r="P19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20" spans="1:16" s="12" customFormat="1" ht="15.4" x14ac:dyDescent="0.45">
      <c r="A20" s="20">
        <f t="shared" si="0"/>
        <v>17</v>
      </c>
      <c r="B20" s="13" t="s">
        <v>119</v>
      </c>
      <c r="C20" s="10" t="s">
        <v>67</v>
      </c>
      <c r="D20" s="11" t="s">
        <v>59</v>
      </c>
      <c r="E20" s="11" t="s">
        <v>56</v>
      </c>
      <c r="F20" s="17">
        <v>0</v>
      </c>
      <c r="G20" s="17">
        <v>0</v>
      </c>
      <c r="H20" s="16">
        <v>70</v>
      </c>
      <c r="I20" s="16">
        <v>71</v>
      </c>
      <c r="J20" s="16">
        <v>79</v>
      </c>
      <c r="K20" s="11"/>
      <c r="L20" s="11"/>
      <c r="M20" s="11"/>
      <c r="N20" s="11"/>
      <c r="O20" s="21">
        <f>AVERAGE(Table13[[#This Row],[JUNI]:[DES]])</f>
        <v>73.333333333333329</v>
      </c>
      <c r="P20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21" spans="1:16" s="12" customFormat="1" ht="15.4" x14ac:dyDescent="0.45">
      <c r="A21" s="20">
        <f t="shared" si="0"/>
        <v>18</v>
      </c>
      <c r="B21" s="13" t="s">
        <v>120</v>
      </c>
      <c r="C21" s="10" t="s">
        <v>68</v>
      </c>
      <c r="D21" s="11" t="s">
        <v>209</v>
      </c>
      <c r="E21" s="11" t="s">
        <v>221</v>
      </c>
      <c r="F21" s="17">
        <v>0</v>
      </c>
      <c r="G21" s="17">
        <v>0</v>
      </c>
      <c r="H21" s="17">
        <v>0</v>
      </c>
      <c r="I21" s="17">
        <v>0</v>
      </c>
      <c r="J21" s="16">
        <v>58</v>
      </c>
      <c r="K21" s="16"/>
      <c r="L21" s="16"/>
      <c r="M21" s="16"/>
      <c r="N21" s="16"/>
      <c r="O21" s="21">
        <f>AVERAGE(Table13[[#This Row],[AGUST]:[DES]])</f>
        <v>58</v>
      </c>
      <c r="P21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22" spans="1:16" s="12" customFormat="1" ht="15.4" x14ac:dyDescent="0.45">
      <c r="A22" s="20">
        <f t="shared" si="0"/>
        <v>19</v>
      </c>
      <c r="B22" s="13" t="s">
        <v>121</v>
      </c>
      <c r="C22" s="10" t="s">
        <v>69</v>
      </c>
      <c r="D22" s="11" t="s">
        <v>209</v>
      </c>
      <c r="E22" s="11" t="s">
        <v>221</v>
      </c>
      <c r="F22" s="17">
        <v>0</v>
      </c>
      <c r="G22" s="17">
        <v>0</v>
      </c>
      <c r="H22" s="17">
        <v>0</v>
      </c>
      <c r="I22" s="17">
        <v>0</v>
      </c>
      <c r="J22" s="16">
        <v>53</v>
      </c>
      <c r="K22" s="16"/>
      <c r="L22" s="16"/>
      <c r="M22" s="16"/>
      <c r="N22" s="16"/>
      <c r="O22" s="21">
        <f>AVERAGE(Table13[[#This Row],[AGUST]:[DES]])</f>
        <v>53</v>
      </c>
      <c r="P22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23" spans="1:16" s="12" customFormat="1" ht="15.4" x14ac:dyDescent="0.45">
      <c r="A23" s="20">
        <f t="shared" si="0"/>
        <v>20</v>
      </c>
      <c r="B23" s="13" t="s">
        <v>122</v>
      </c>
      <c r="C23" s="10" t="s">
        <v>70</v>
      </c>
      <c r="D23" s="11" t="s">
        <v>204</v>
      </c>
      <c r="E23" s="11" t="s">
        <v>221</v>
      </c>
      <c r="F23" s="17">
        <v>0</v>
      </c>
      <c r="G23" s="17">
        <v>0</v>
      </c>
      <c r="H23" s="17">
        <v>0</v>
      </c>
      <c r="I23" s="17">
        <v>0</v>
      </c>
      <c r="J23" s="16">
        <v>90</v>
      </c>
      <c r="K23" s="16"/>
      <c r="L23" s="16"/>
      <c r="M23" s="16"/>
      <c r="N23" s="16"/>
      <c r="O23" s="21">
        <f>AVERAGE(Table13[[#This Row],[AGUST]:[DES]])</f>
        <v>90</v>
      </c>
      <c r="P23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24" spans="1:16" s="12" customFormat="1" ht="15.4" x14ac:dyDescent="0.45">
      <c r="A24" s="20">
        <f t="shared" si="0"/>
        <v>21</v>
      </c>
      <c r="B24" s="13" t="s">
        <v>123</v>
      </c>
      <c r="C24" s="10" t="s">
        <v>20</v>
      </c>
      <c r="D24" s="11" t="s">
        <v>59</v>
      </c>
      <c r="E24" s="11" t="s">
        <v>51</v>
      </c>
      <c r="F24" s="16">
        <v>79</v>
      </c>
      <c r="G24" s="16">
        <v>75</v>
      </c>
      <c r="H24" s="16">
        <v>91</v>
      </c>
      <c r="I24" s="16">
        <v>70</v>
      </c>
      <c r="J24" s="16">
        <v>84</v>
      </c>
      <c r="K24" s="16"/>
      <c r="L24" s="16"/>
      <c r="M24" s="16"/>
      <c r="N24" s="16"/>
      <c r="O24" s="21">
        <f>AVERAGE(Table13[[#This Row],[APRIL]:[DES]])</f>
        <v>79.8</v>
      </c>
      <c r="P24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25" spans="1:16" s="12" customFormat="1" ht="15.4" x14ac:dyDescent="0.45">
      <c r="A25" s="20">
        <f t="shared" si="0"/>
        <v>22</v>
      </c>
      <c r="B25" s="13" t="s">
        <v>124</v>
      </c>
      <c r="C25" s="10" t="s">
        <v>16</v>
      </c>
      <c r="D25" s="11" t="s">
        <v>207</v>
      </c>
      <c r="E25" s="11" t="s">
        <v>52</v>
      </c>
      <c r="F25" s="16">
        <v>86</v>
      </c>
      <c r="G25" s="16">
        <v>85</v>
      </c>
      <c r="H25" s="16">
        <v>86</v>
      </c>
      <c r="I25" s="16">
        <v>83</v>
      </c>
      <c r="J25" s="16">
        <v>72</v>
      </c>
      <c r="K25" s="11"/>
      <c r="L25" s="11"/>
      <c r="M25" s="11"/>
      <c r="N25" s="11"/>
      <c r="O25" s="21">
        <f>AVERAGE(Table13[[#This Row],[APRIL]:[DES]])</f>
        <v>82.4</v>
      </c>
      <c r="P25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26" spans="1:16" s="12" customFormat="1" ht="15.4" x14ac:dyDescent="0.45">
      <c r="A26" s="20">
        <f t="shared" si="0"/>
        <v>23</v>
      </c>
      <c r="B26" s="13" t="s">
        <v>125</v>
      </c>
      <c r="C26" s="10" t="s">
        <v>71</v>
      </c>
      <c r="D26" s="11" t="s">
        <v>210</v>
      </c>
      <c r="E26" s="11" t="s">
        <v>218</v>
      </c>
      <c r="F26" s="16">
        <v>78</v>
      </c>
      <c r="G26" s="16">
        <v>81</v>
      </c>
      <c r="H26" s="16">
        <v>78</v>
      </c>
      <c r="I26" s="16">
        <v>91</v>
      </c>
      <c r="J26" s="16">
        <v>88</v>
      </c>
      <c r="K26" s="11"/>
      <c r="L26" s="11"/>
      <c r="M26" s="11"/>
      <c r="N26" s="11"/>
      <c r="O26" s="21">
        <f>AVERAGE(Table13[[#This Row],[JUNI]:[AGUST]])</f>
        <v>85.666666666666671</v>
      </c>
      <c r="P26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27" spans="1:16" s="12" customFormat="1" ht="15.4" x14ac:dyDescent="0.45">
      <c r="A27" s="20">
        <f t="shared" si="0"/>
        <v>24</v>
      </c>
      <c r="B27" s="13" t="s">
        <v>126</v>
      </c>
      <c r="C27" s="10" t="s">
        <v>18</v>
      </c>
      <c r="D27" s="11" t="s">
        <v>207</v>
      </c>
      <c r="E27" s="11" t="s">
        <v>53</v>
      </c>
      <c r="F27" s="16">
        <v>78</v>
      </c>
      <c r="G27" s="16">
        <v>76</v>
      </c>
      <c r="H27" s="16">
        <v>73</v>
      </c>
      <c r="I27" s="16">
        <v>71</v>
      </c>
      <c r="J27" s="16">
        <v>75</v>
      </c>
      <c r="K27" s="11"/>
      <c r="L27" s="11"/>
      <c r="M27" s="11"/>
      <c r="N27" s="11"/>
      <c r="O27" s="21">
        <f>AVERAGE(Table13[[#This Row],[APRIL]:[DES]])</f>
        <v>74.599999999999994</v>
      </c>
      <c r="P27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28" spans="1:16" s="12" customFormat="1" ht="15.4" x14ac:dyDescent="0.45">
      <c r="A28" s="20">
        <f t="shared" si="0"/>
        <v>25</v>
      </c>
      <c r="B28" s="13" t="s">
        <v>127</v>
      </c>
      <c r="C28" s="10" t="s">
        <v>26</v>
      </c>
      <c r="D28" s="11" t="s">
        <v>207</v>
      </c>
      <c r="E28" s="11" t="s">
        <v>54</v>
      </c>
      <c r="F28" s="16">
        <v>80</v>
      </c>
      <c r="G28" s="16">
        <v>66</v>
      </c>
      <c r="H28" s="16">
        <v>76</v>
      </c>
      <c r="I28" s="16">
        <v>73</v>
      </c>
      <c r="J28" s="16">
        <v>87</v>
      </c>
      <c r="K28" s="11"/>
      <c r="L28" s="11"/>
      <c r="M28" s="11"/>
      <c r="N28" s="11"/>
      <c r="O28" s="21">
        <f>AVERAGE(Table13[[#This Row],[APRIL]:[DES]])</f>
        <v>76.400000000000006</v>
      </c>
      <c r="P28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29" spans="1:16" s="12" customFormat="1" ht="15.4" x14ac:dyDescent="0.45">
      <c r="A29" s="20">
        <f t="shared" si="0"/>
        <v>26</v>
      </c>
      <c r="B29" s="13" t="s">
        <v>128</v>
      </c>
      <c r="C29" s="10" t="s">
        <v>30</v>
      </c>
      <c r="D29" s="11" t="s">
        <v>59</v>
      </c>
      <c r="E29" s="11" t="s">
        <v>54</v>
      </c>
      <c r="F29" s="16">
        <v>54</v>
      </c>
      <c r="G29" s="16">
        <v>67</v>
      </c>
      <c r="H29" s="16">
        <v>71</v>
      </c>
      <c r="I29" s="16">
        <v>73</v>
      </c>
      <c r="J29" s="16">
        <v>76</v>
      </c>
      <c r="K29" s="11"/>
      <c r="L29" s="11"/>
      <c r="M29" s="11"/>
      <c r="N29" s="11"/>
      <c r="O29" s="21">
        <f>AVERAGE(Table13[[#This Row],[APRIL]:[DES]])</f>
        <v>68.2</v>
      </c>
      <c r="P29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30" spans="1:16" s="12" customFormat="1" ht="15.4" x14ac:dyDescent="0.45">
      <c r="A30" s="20">
        <f t="shared" si="0"/>
        <v>27</v>
      </c>
      <c r="B30" s="13" t="s">
        <v>129</v>
      </c>
      <c r="C30" s="10" t="s">
        <v>23</v>
      </c>
      <c r="D30" s="11" t="s">
        <v>203</v>
      </c>
      <c r="E30" s="11" t="s">
        <v>223</v>
      </c>
      <c r="F30" s="16">
        <v>81</v>
      </c>
      <c r="G30" s="16">
        <v>97</v>
      </c>
      <c r="H30" s="16">
        <v>87</v>
      </c>
      <c r="I30" s="16">
        <v>79</v>
      </c>
      <c r="J30" s="16">
        <v>90</v>
      </c>
      <c r="K30" s="11"/>
      <c r="L30" s="11"/>
      <c r="M30" s="11"/>
      <c r="N30" s="11"/>
      <c r="O30" s="21">
        <f>AVERAGE(Table13[[#This Row],[JUNI]:[AGUST]])</f>
        <v>85.333333333333329</v>
      </c>
      <c r="P30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31" spans="1:16" s="12" customFormat="1" ht="15.4" x14ac:dyDescent="0.45">
      <c r="A31" s="20">
        <f t="shared" si="0"/>
        <v>28</v>
      </c>
      <c r="B31" s="13" t="s">
        <v>130</v>
      </c>
      <c r="C31" s="10" t="s">
        <v>46</v>
      </c>
      <c r="D31" s="11" t="s">
        <v>207</v>
      </c>
      <c r="E31" s="11" t="s">
        <v>220</v>
      </c>
      <c r="F31" s="16">
        <v>83</v>
      </c>
      <c r="G31" s="16">
        <v>70</v>
      </c>
      <c r="H31" s="16">
        <v>69</v>
      </c>
      <c r="I31" s="16">
        <v>71</v>
      </c>
      <c r="J31" s="16"/>
      <c r="K31" s="16"/>
      <c r="L31" s="16"/>
      <c r="M31" s="16"/>
      <c r="N31" s="16"/>
      <c r="O31" s="21">
        <f>AVERAGE(Table13[[#This Row],[APRIL]:[DES]])</f>
        <v>73.25</v>
      </c>
      <c r="P31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32" spans="1:16" s="12" customFormat="1" ht="15.4" x14ac:dyDescent="0.45">
      <c r="A32" s="20">
        <f t="shared" si="0"/>
        <v>29</v>
      </c>
      <c r="B32" s="13" t="s">
        <v>131</v>
      </c>
      <c r="C32" s="10" t="s">
        <v>19</v>
      </c>
      <c r="D32" s="11" t="s">
        <v>59</v>
      </c>
      <c r="E32" s="11" t="s">
        <v>52</v>
      </c>
      <c r="F32" s="16">
        <v>75</v>
      </c>
      <c r="G32" s="16">
        <v>75</v>
      </c>
      <c r="H32" s="16">
        <v>64</v>
      </c>
      <c r="I32" s="16">
        <v>70</v>
      </c>
      <c r="J32" s="16">
        <v>78</v>
      </c>
      <c r="K32" s="11"/>
      <c r="L32" s="11"/>
      <c r="M32" s="11"/>
      <c r="N32" s="11"/>
      <c r="O32" s="21">
        <f>AVERAGE(Table13[[#This Row],[APRIL]:[DES]])</f>
        <v>72.400000000000006</v>
      </c>
      <c r="P32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33" spans="1:16" s="12" customFormat="1" ht="15.4" x14ac:dyDescent="0.45">
      <c r="A33" s="20">
        <f t="shared" si="0"/>
        <v>30</v>
      </c>
      <c r="B33" s="13" t="s">
        <v>132</v>
      </c>
      <c r="C33" s="10" t="s">
        <v>72</v>
      </c>
      <c r="D33" s="11" t="s">
        <v>204</v>
      </c>
      <c r="E33" s="11" t="s">
        <v>221</v>
      </c>
      <c r="F33" s="17">
        <v>0</v>
      </c>
      <c r="G33" s="17">
        <v>0</v>
      </c>
      <c r="H33" s="17">
        <v>0</v>
      </c>
      <c r="I33" s="17">
        <v>0</v>
      </c>
      <c r="J33" s="16">
        <v>80</v>
      </c>
      <c r="K33" s="16"/>
      <c r="L33" s="16"/>
      <c r="M33" s="16"/>
      <c r="N33" s="16"/>
      <c r="O33" s="21">
        <f>AVERAGE(Table13[[#This Row],[AGUST]:[DES]])</f>
        <v>80</v>
      </c>
      <c r="P33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34" spans="1:16" s="12" customFormat="1" ht="15.4" x14ac:dyDescent="0.45">
      <c r="A34" s="20">
        <f t="shared" si="0"/>
        <v>31</v>
      </c>
      <c r="B34" s="13" t="s">
        <v>133</v>
      </c>
      <c r="C34" s="10" t="s">
        <v>73</v>
      </c>
      <c r="D34" s="11" t="s">
        <v>211</v>
      </c>
      <c r="E34" s="11" t="s">
        <v>218</v>
      </c>
      <c r="F34" s="17">
        <v>0</v>
      </c>
      <c r="G34" s="17">
        <v>0</v>
      </c>
      <c r="H34" s="17">
        <v>0</v>
      </c>
      <c r="I34" s="17">
        <v>0</v>
      </c>
      <c r="J34" s="16">
        <v>79</v>
      </c>
      <c r="K34" s="11"/>
      <c r="L34" s="11"/>
      <c r="M34" s="11"/>
      <c r="N34" s="11"/>
      <c r="O34" s="21">
        <f>AVERAGE(Table13[[#This Row],[AGUST]:[DES]])</f>
        <v>79</v>
      </c>
      <c r="P34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35" spans="1:16" s="12" customFormat="1" ht="15.4" x14ac:dyDescent="0.45">
      <c r="A35" s="20">
        <f t="shared" si="0"/>
        <v>32</v>
      </c>
      <c r="B35" s="13" t="s">
        <v>134</v>
      </c>
      <c r="C35" s="10" t="s">
        <v>22</v>
      </c>
      <c r="D35" s="11" t="s">
        <v>59</v>
      </c>
      <c r="E35" s="11" t="s">
        <v>97</v>
      </c>
      <c r="F35" s="16">
        <v>63</v>
      </c>
      <c r="G35" s="16">
        <v>66</v>
      </c>
      <c r="H35" s="16">
        <v>72</v>
      </c>
      <c r="I35" s="16">
        <v>71</v>
      </c>
      <c r="J35" s="16">
        <v>84</v>
      </c>
      <c r="K35" s="11"/>
      <c r="L35" s="11"/>
      <c r="M35" s="11"/>
      <c r="N35" s="11"/>
      <c r="O35" s="21">
        <f>AVERAGE(Table13[[#This Row],[APRIL]:[DES]])</f>
        <v>71.2</v>
      </c>
      <c r="P35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36" spans="1:16" s="12" customFormat="1" ht="15.4" x14ac:dyDescent="0.45">
      <c r="A36" s="20">
        <f t="shared" si="0"/>
        <v>33</v>
      </c>
      <c r="B36" s="13" t="s">
        <v>135</v>
      </c>
      <c r="C36" s="10" t="s">
        <v>13</v>
      </c>
      <c r="D36" s="11" t="s">
        <v>212</v>
      </c>
      <c r="E36" s="11" t="s">
        <v>51</v>
      </c>
      <c r="F36" s="16">
        <v>70</v>
      </c>
      <c r="G36" s="16">
        <v>58</v>
      </c>
      <c r="H36" s="16">
        <v>78</v>
      </c>
      <c r="I36" s="16">
        <v>75</v>
      </c>
      <c r="J36" s="16">
        <v>85</v>
      </c>
      <c r="K36" s="16"/>
      <c r="L36" s="16"/>
      <c r="M36" s="16"/>
      <c r="N36" s="16"/>
      <c r="O36" s="21">
        <f>AVERAGE(Table13[[#This Row],[APRIL]:[DES]])</f>
        <v>73.2</v>
      </c>
      <c r="P36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37" spans="1:16" s="12" customFormat="1" ht="15.4" x14ac:dyDescent="0.45">
      <c r="A37" s="20">
        <f t="shared" si="0"/>
        <v>34</v>
      </c>
      <c r="B37" s="13" t="s">
        <v>136</v>
      </c>
      <c r="C37" s="10" t="s">
        <v>74</v>
      </c>
      <c r="D37" s="11" t="s">
        <v>213</v>
      </c>
      <c r="E37" s="11" t="s">
        <v>218</v>
      </c>
      <c r="F37" s="17">
        <v>0</v>
      </c>
      <c r="G37" s="17">
        <v>0</v>
      </c>
      <c r="H37" s="17">
        <v>0</v>
      </c>
      <c r="I37" s="17">
        <v>0</v>
      </c>
      <c r="J37" s="16">
        <v>91</v>
      </c>
      <c r="K37" s="11"/>
      <c r="L37" s="11"/>
      <c r="M37" s="11"/>
      <c r="N37" s="11"/>
      <c r="O37" s="21">
        <f>AVERAGE(Table13[[#This Row],[AGUST]:[DES]])</f>
        <v>91</v>
      </c>
      <c r="P37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38" spans="1:16" s="12" customFormat="1" ht="15.4" x14ac:dyDescent="0.45">
      <c r="A38" s="20">
        <f t="shared" si="0"/>
        <v>35</v>
      </c>
      <c r="B38" s="13" t="s">
        <v>137</v>
      </c>
      <c r="C38" s="10" t="s">
        <v>75</v>
      </c>
      <c r="D38" s="11" t="s">
        <v>208</v>
      </c>
      <c r="E38" s="11" t="s">
        <v>218</v>
      </c>
      <c r="F38" s="17">
        <v>0</v>
      </c>
      <c r="G38" s="17">
        <v>0</v>
      </c>
      <c r="H38" s="17">
        <v>0</v>
      </c>
      <c r="I38" s="17">
        <v>0</v>
      </c>
      <c r="J38" s="16">
        <v>84</v>
      </c>
      <c r="K38" s="11"/>
      <c r="L38" s="11"/>
      <c r="M38" s="11"/>
      <c r="N38" s="11"/>
      <c r="O38" s="21">
        <f>AVERAGE(Table13[[#This Row],[AGUST]:[DES]])</f>
        <v>84</v>
      </c>
      <c r="P38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39" spans="1:16" s="12" customFormat="1" ht="15.4" x14ac:dyDescent="0.45">
      <c r="A39" s="20">
        <f t="shared" si="0"/>
        <v>36</v>
      </c>
      <c r="B39" s="13" t="s">
        <v>138</v>
      </c>
      <c r="C39" s="10" t="s">
        <v>17</v>
      </c>
      <c r="D39" s="11" t="s">
        <v>59</v>
      </c>
      <c r="E39" s="11" t="s">
        <v>52</v>
      </c>
      <c r="F39" s="16">
        <v>77</v>
      </c>
      <c r="G39" s="16">
        <v>70</v>
      </c>
      <c r="H39" s="16">
        <v>54</v>
      </c>
      <c r="I39" s="16">
        <v>68</v>
      </c>
      <c r="J39" s="16">
        <v>64</v>
      </c>
      <c r="K39" s="11"/>
      <c r="L39" s="11"/>
      <c r="M39" s="11"/>
      <c r="N39" s="11"/>
      <c r="O39" s="21">
        <f>AVERAGE(Table13[[#This Row],[APRIL]:[DES]])</f>
        <v>66.599999999999994</v>
      </c>
      <c r="P39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40" spans="1:16" s="12" customFormat="1" ht="15.4" x14ac:dyDescent="0.45">
      <c r="A40" s="20">
        <f t="shared" si="0"/>
        <v>37</v>
      </c>
      <c r="B40" s="13" t="s">
        <v>139</v>
      </c>
      <c r="C40" s="10" t="s">
        <v>24</v>
      </c>
      <c r="D40" s="11" t="s">
        <v>59</v>
      </c>
      <c r="E40" s="11" t="s">
        <v>53</v>
      </c>
      <c r="F40" s="16">
        <v>61</v>
      </c>
      <c r="G40" s="16">
        <v>60</v>
      </c>
      <c r="H40" s="16">
        <v>59</v>
      </c>
      <c r="I40" s="16">
        <v>63</v>
      </c>
      <c r="J40" s="16">
        <v>68</v>
      </c>
      <c r="K40" s="11"/>
      <c r="L40" s="11"/>
      <c r="M40" s="11"/>
      <c r="N40" s="11"/>
      <c r="O40" s="21">
        <f>AVERAGE(Table13[[#This Row],[APRIL]:[DES]])</f>
        <v>62.2</v>
      </c>
      <c r="P40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41" spans="1:16" s="12" customFormat="1" ht="15.4" x14ac:dyDescent="0.45">
      <c r="A41" s="20">
        <f t="shared" si="0"/>
        <v>38</v>
      </c>
      <c r="B41" s="13" t="s">
        <v>140</v>
      </c>
      <c r="C41" s="10" t="s">
        <v>76</v>
      </c>
      <c r="D41" s="11" t="s">
        <v>211</v>
      </c>
      <c r="E41" s="11" t="s">
        <v>218</v>
      </c>
      <c r="F41" s="17">
        <v>0</v>
      </c>
      <c r="G41" s="17">
        <v>0</v>
      </c>
      <c r="H41" s="17">
        <v>0</v>
      </c>
      <c r="I41" s="17">
        <v>0</v>
      </c>
      <c r="J41" s="16">
        <v>74</v>
      </c>
      <c r="K41" s="11"/>
      <c r="L41" s="11"/>
      <c r="M41" s="11"/>
      <c r="N41" s="11"/>
      <c r="O41" s="21">
        <f>AVERAGE(Table13[[#This Row],[AGUST]:[DES]])</f>
        <v>74</v>
      </c>
      <c r="P41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42" spans="1:16" s="12" customFormat="1" ht="15.4" x14ac:dyDescent="0.45">
      <c r="A42" s="20">
        <f t="shared" si="0"/>
        <v>39</v>
      </c>
      <c r="B42" s="13" t="s">
        <v>141</v>
      </c>
      <c r="C42" s="10" t="s">
        <v>77</v>
      </c>
      <c r="D42" s="11" t="s">
        <v>211</v>
      </c>
      <c r="E42" s="11" t="s">
        <v>222</v>
      </c>
      <c r="F42" s="17">
        <v>0</v>
      </c>
      <c r="G42" s="17">
        <v>0</v>
      </c>
      <c r="H42" s="17">
        <v>0</v>
      </c>
      <c r="I42" s="17">
        <v>0</v>
      </c>
      <c r="J42" s="16">
        <v>54</v>
      </c>
      <c r="K42" s="11"/>
      <c r="L42" s="11"/>
      <c r="M42" s="11"/>
      <c r="N42" s="11"/>
      <c r="O42" s="21">
        <f>AVERAGE(Table13[[#This Row],[AGUST]:[DES]])</f>
        <v>54</v>
      </c>
      <c r="P42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43" spans="1:16" s="12" customFormat="1" ht="15.4" x14ac:dyDescent="0.45">
      <c r="A43" s="20">
        <f t="shared" si="0"/>
        <v>40</v>
      </c>
      <c r="B43" s="13" t="s">
        <v>142</v>
      </c>
      <c r="C43" s="10" t="s">
        <v>78</v>
      </c>
      <c r="D43" s="11" t="s">
        <v>204</v>
      </c>
      <c r="E43" s="11" t="s">
        <v>221</v>
      </c>
      <c r="F43" s="17"/>
      <c r="G43" s="17"/>
      <c r="H43" s="17"/>
      <c r="I43" s="17"/>
      <c r="J43" s="16">
        <v>82</v>
      </c>
      <c r="K43" s="16"/>
      <c r="L43" s="16"/>
      <c r="M43" s="16"/>
      <c r="N43" s="16"/>
      <c r="O43" s="21">
        <f>AVERAGE(Table13[[#This Row],[AGUST]:[DES]])</f>
        <v>82</v>
      </c>
      <c r="P43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44" spans="1:16" s="12" customFormat="1" ht="15.4" x14ac:dyDescent="0.45">
      <c r="A44" s="20">
        <f t="shared" si="0"/>
        <v>41</v>
      </c>
      <c r="B44" s="13" t="s">
        <v>143</v>
      </c>
      <c r="C44" s="10" t="s">
        <v>79</v>
      </c>
      <c r="D44" s="11" t="s">
        <v>214</v>
      </c>
      <c r="E44" s="11" t="s">
        <v>219</v>
      </c>
      <c r="F44" s="16"/>
      <c r="G44" s="16">
        <v>78</v>
      </c>
      <c r="H44" s="16">
        <v>79</v>
      </c>
      <c r="I44" s="16">
        <v>98</v>
      </c>
      <c r="J44" s="16">
        <v>88</v>
      </c>
      <c r="K44" s="11"/>
      <c r="L44" s="11"/>
      <c r="M44" s="11"/>
      <c r="N44" s="11"/>
      <c r="O44" s="21">
        <f>AVERAGE(Table13[[#This Row],[JUNI]:[AGUST]])</f>
        <v>88.333333333333329</v>
      </c>
      <c r="P44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45" spans="1:16" s="12" customFormat="1" ht="15.4" x14ac:dyDescent="0.45">
      <c r="A45" s="20">
        <f t="shared" si="0"/>
        <v>42</v>
      </c>
      <c r="B45" s="13" t="s">
        <v>144</v>
      </c>
      <c r="C45" s="10" t="s">
        <v>15</v>
      </c>
      <c r="D45" s="11" t="s">
        <v>59</v>
      </c>
      <c r="E45" s="11" t="s">
        <v>51</v>
      </c>
      <c r="F45" s="16">
        <v>71</v>
      </c>
      <c r="G45" s="16">
        <v>60</v>
      </c>
      <c r="H45" s="16">
        <v>68</v>
      </c>
      <c r="I45" s="16">
        <v>70</v>
      </c>
      <c r="J45" s="16">
        <v>84</v>
      </c>
      <c r="K45" s="16"/>
      <c r="L45" s="16"/>
      <c r="M45" s="16"/>
      <c r="N45" s="16"/>
      <c r="O45" s="21">
        <f>AVERAGE(Table13[[#This Row],[APRIL]:[DES]])</f>
        <v>70.599999999999994</v>
      </c>
      <c r="P45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46" spans="1:16" s="12" customFormat="1" ht="15.4" x14ac:dyDescent="0.45">
      <c r="A46" s="20">
        <f t="shared" si="0"/>
        <v>43</v>
      </c>
      <c r="B46" s="13" t="s">
        <v>145</v>
      </c>
      <c r="C46" s="10" t="s">
        <v>29</v>
      </c>
      <c r="D46" s="11" t="s">
        <v>59</v>
      </c>
      <c r="E46" s="11" t="s">
        <v>54</v>
      </c>
      <c r="F46" s="16">
        <v>66</v>
      </c>
      <c r="G46" s="16">
        <v>78</v>
      </c>
      <c r="H46" s="16">
        <v>84</v>
      </c>
      <c r="I46" s="16">
        <v>75</v>
      </c>
      <c r="J46" s="16">
        <v>91</v>
      </c>
      <c r="K46" s="11"/>
      <c r="L46" s="11"/>
      <c r="M46" s="11"/>
      <c r="N46" s="11"/>
      <c r="O46" s="21">
        <f>AVERAGE(Table13[[#This Row],[APRIL]:[DES]])</f>
        <v>78.8</v>
      </c>
      <c r="P46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47" spans="1:16" s="12" customFormat="1" ht="15.4" x14ac:dyDescent="0.45">
      <c r="A47" s="20">
        <f t="shared" si="0"/>
        <v>44</v>
      </c>
      <c r="B47" s="13" t="s">
        <v>146</v>
      </c>
      <c r="C47" s="10" t="s">
        <v>28</v>
      </c>
      <c r="D47" s="11" t="s">
        <v>59</v>
      </c>
      <c r="E47" s="11" t="s">
        <v>54</v>
      </c>
      <c r="F47" s="16">
        <v>56</v>
      </c>
      <c r="G47" s="16">
        <v>73</v>
      </c>
      <c r="H47" s="16">
        <v>73</v>
      </c>
      <c r="I47" s="16">
        <v>72</v>
      </c>
      <c r="J47" s="16">
        <v>80</v>
      </c>
      <c r="K47" s="11"/>
      <c r="L47" s="11"/>
      <c r="M47" s="11"/>
      <c r="N47" s="11"/>
      <c r="O47" s="21">
        <f>AVERAGE(Table13[[#This Row],[APRIL]:[DES]])</f>
        <v>70.8</v>
      </c>
      <c r="P47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48" spans="1:16" s="12" customFormat="1" ht="15.4" x14ac:dyDescent="0.45">
      <c r="A48" s="20">
        <f t="shared" si="0"/>
        <v>45</v>
      </c>
      <c r="B48" s="13" t="s">
        <v>147</v>
      </c>
      <c r="C48" s="10" t="s">
        <v>80</v>
      </c>
      <c r="D48" s="11" t="s">
        <v>204</v>
      </c>
      <c r="E48" s="11" t="s">
        <v>221</v>
      </c>
      <c r="F48" s="17"/>
      <c r="G48" s="17"/>
      <c r="H48" s="17"/>
      <c r="I48" s="17"/>
      <c r="J48" s="16">
        <v>82</v>
      </c>
      <c r="K48" s="16"/>
      <c r="L48" s="16"/>
      <c r="M48" s="16"/>
      <c r="N48" s="16"/>
      <c r="O48" s="21">
        <f>AVERAGE(Table13[[#This Row],[AGUST]:[DES]])</f>
        <v>82</v>
      </c>
      <c r="P48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49" spans="1:16" s="12" customFormat="1" ht="15.4" x14ac:dyDescent="0.45">
      <c r="A49" s="20">
        <f t="shared" si="0"/>
        <v>46</v>
      </c>
      <c r="B49" s="13" t="s">
        <v>148</v>
      </c>
      <c r="C49" s="10" t="s">
        <v>48</v>
      </c>
      <c r="D49" s="11" t="s">
        <v>59</v>
      </c>
      <c r="E49" s="11" t="s">
        <v>220</v>
      </c>
      <c r="F49" s="16">
        <v>75</v>
      </c>
      <c r="G49" s="16">
        <v>74</v>
      </c>
      <c r="H49" s="16">
        <v>69</v>
      </c>
      <c r="I49" s="16">
        <v>71</v>
      </c>
      <c r="J49" s="16">
        <v>73</v>
      </c>
      <c r="K49" s="16"/>
      <c r="L49" s="16"/>
      <c r="M49" s="16"/>
      <c r="N49" s="16"/>
      <c r="O49" s="21">
        <f>AVERAGE(Table13[[#This Row],[APRIL]:[DES]])</f>
        <v>72.400000000000006</v>
      </c>
      <c r="P49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50" spans="1:16" s="12" customFormat="1" ht="15.4" x14ac:dyDescent="0.45">
      <c r="A50" s="20">
        <f t="shared" si="0"/>
        <v>47</v>
      </c>
      <c r="B50" s="13" t="s">
        <v>149</v>
      </c>
      <c r="C50" s="10" t="s">
        <v>27</v>
      </c>
      <c r="D50" s="11" t="s">
        <v>59</v>
      </c>
      <c r="E50" s="11" t="s">
        <v>54</v>
      </c>
      <c r="F50" s="16">
        <v>63</v>
      </c>
      <c r="G50" s="16">
        <v>62</v>
      </c>
      <c r="H50" s="16">
        <v>82</v>
      </c>
      <c r="I50" s="16">
        <v>75</v>
      </c>
      <c r="J50" s="16">
        <v>91</v>
      </c>
      <c r="K50" s="11"/>
      <c r="L50" s="11"/>
      <c r="M50" s="11"/>
      <c r="N50" s="11"/>
      <c r="O50" s="21">
        <f>AVERAGE(Table13[[#This Row],[APRIL]:[DES]])</f>
        <v>74.599999999999994</v>
      </c>
      <c r="P50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51" spans="1:16" s="12" customFormat="1" ht="15.4" x14ac:dyDescent="0.45">
      <c r="A51" s="20">
        <f t="shared" si="0"/>
        <v>48</v>
      </c>
      <c r="B51" s="13" t="s">
        <v>150</v>
      </c>
      <c r="C51" s="10" t="s">
        <v>81</v>
      </c>
      <c r="D51" s="11" t="s">
        <v>209</v>
      </c>
      <c r="E51" s="11" t="s">
        <v>221</v>
      </c>
      <c r="F51" s="17"/>
      <c r="G51" s="17"/>
      <c r="H51" s="17"/>
      <c r="I51" s="17"/>
      <c r="J51" s="16">
        <v>78</v>
      </c>
      <c r="K51" s="16"/>
      <c r="L51" s="16"/>
      <c r="M51" s="16"/>
      <c r="N51" s="16"/>
      <c r="O51" s="21">
        <f>AVERAGE(Table13[[#This Row],[AGUST]:[DES]])</f>
        <v>78</v>
      </c>
      <c r="P51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52" spans="1:16" s="12" customFormat="1" ht="15.4" x14ac:dyDescent="0.45">
      <c r="A52" s="20">
        <f t="shared" si="0"/>
        <v>49</v>
      </c>
      <c r="B52" s="13" t="s">
        <v>151</v>
      </c>
      <c r="C52" s="10" t="s">
        <v>45</v>
      </c>
      <c r="D52" s="11" t="s">
        <v>59</v>
      </c>
      <c r="E52" s="11" t="s">
        <v>220</v>
      </c>
      <c r="F52" s="16">
        <v>68</v>
      </c>
      <c r="G52" s="16">
        <v>69</v>
      </c>
      <c r="H52" s="16">
        <v>67</v>
      </c>
      <c r="I52" s="16">
        <v>73</v>
      </c>
      <c r="J52" s="16">
        <v>71</v>
      </c>
      <c r="K52" s="16"/>
      <c r="L52" s="16"/>
      <c r="M52" s="16"/>
      <c r="N52" s="16"/>
      <c r="O52" s="21">
        <f>AVERAGE(Table13[[#This Row],[APRIL]:[DES]])</f>
        <v>69.599999999999994</v>
      </c>
      <c r="P52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53" spans="1:16" s="12" customFormat="1" ht="15.4" x14ac:dyDescent="0.45">
      <c r="A53" s="20">
        <f t="shared" si="0"/>
        <v>50</v>
      </c>
      <c r="B53" s="13" t="s">
        <v>152</v>
      </c>
      <c r="C53" s="10" t="s">
        <v>82</v>
      </c>
      <c r="D53" s="11" t="s">
        <v>209</v>
      </c>
      <c r="E53" s="11" t="s">
        <v>221</v>
      </c>
      <c r="F53" s="17"/>
      <c r="G53" s="17"/>
      <c r="H53" s="17"/>
      <c r="I53" s="17"/>
      <c r="J53" s="16">
        <v>53</v>
      </c>
      <c r="K53" s="16"/>
      <c r="L53" s="16"/>
      <c r="M53" s="16"/>
      <c r="N53" s="16"/>
      <c r="O53" s="21">
        <f>AVERAGE(Table13[[#This Row],[AGUST]:[DES]])</f>
        <v>53</v>
      </c>
      <c r="P53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54" spans="1:16" s="12" customFormat="1" ht="15.4" x14ac:dyDescent="0.45">
      <c r="A54" s="20">
        <f t="shared" si="0"/>
        <v>51</v>
      </c>
      <c r="B54" s="13" t="s">
        <v>153</v>
      </c>
      <c r="C54" s="10" t="s">
        <v>83</v>
      </c>
      <c r="D54" s="11" t="s">
        <v>207</v>
      </c>
      <c r="E54" s="11" t="s">
        <v>224</v>
      </c>
      <c r="F54" s="16">
        <v>81</v>
      </c>
      <c r="G54" s="16">
        <v>87</v>
      </c>
      <c r="H54" s="16">
        <v>78</v>
      </c>
      <c r="I54" s="16">
        <v>90</v>
      </c>
      <c r="J54" s="16">
        <v>96</v>
      </c>
      <c r="K54" s="11"/>
      <c r="L54" s="11"/>
      <c r="M54" s="11"/>
      <c r="N54" s="11"/>
      <c r="O54" s="21">
        <f>AVERAGE(Table13[[#This Row],[JUNI]:[AGUST]])</f>
        <v>88</v>
      </c>
      <c r="P54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55" spans="1:16" s="12" customFormat="1" ht="15.4" x14ac:dyDescent="0.45">
      <c r="A55" s="20">
        <f t="shared" si="0"/>
        <v>52</v>
      </c>
      <c r="B55" s="13" t="s">
        <v>154</v>
      </c>
      <c r="C55" s="10" t="s">
        <v>84</v>
      </c>
      <c r="D55" s="11" t="s">
        <v>205</v>
      </c>
      <c r="E55" s="11" t="s">
        <v>219</v>
      </c>
      <c r="F55" s="16">
        <v>69</v>
      </c>
      <c r="G55" s="16">
        <v>98</v>
      </c>
      <c r="H55" s="16">
        <v>78</v>
      </c>
      <c r="I55" s="16">
        <v>88</v>
      </c>
      <c r="J55" s="16">
        <v>76</v>
      </c>
      <c r="K55" s="16"/>
      <c r="L55" s="11"/>
      <c r="M55" s="11"/>
      <c r="N55" s="11"/>
      <c r="O55" s="21">
        <f>AVERAGE(Table13[[#This Row],[JUNI]:[AGUST]])</f>
        <v>80.666666666666671</v>
      </c>
      <c r="P55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56" spans="1:16" s="12" customFormat="1" ht="15.4" x14ac:dyDescent="0.45">
      <c r="A56" s="20">
        <f t="shared" si="0"/>
        <v>53</v>
      </c>
      <c r="B56" s="13" t="s">
        <v>155</v>
      </c>
      <c r="C56" s="10" t="s">
        <v>47</v>
      </c>
      <c r="D56" s="11" t="s">
        <v>59</v>
      </c>
      <c r="E56" s="11" t="s">
        <v>220</v>
      </c>
      <c r="F56" s="16">
        <v>79</v>
      </c>
      <c r="G56" s="16">
        <v>62</v>
      </c>
      <c r="H56" s="16">
        <v>67</v>
      </c>
      <c r="I56" s="16">
        <v>75</v>
      </c>
      <c r="J56" s="16">
        <v>73</v>
      </c>
      <c r="K56" s="16"/>
      <c r="L56" s="16"/>
      <c r="M56" s="16"/>
      <c r="N56" s="16"/>
      <c r="O56" s="21">
        <f>AVERAGE(Table13[[#This Row],[APRIL]:[DES]])</f>
        <v>71.2</v>
      </c>
      <c r="P56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57" spans="1:16" s="12" customFormat="1" ht="15.4" x14ac:dyDescent="0.45">
      <c r="A57" s="20">
        <f t="shared" si="0"/>
        <v>54</v>
      </c>
      <c r="B57" s="13" t="s">
        <v>156</v>
      </c>
      <c r="C57" s="10" t="s">
        <v>14</v>
      </c>
      <c r="D57" s="11" t="s">
        <v>59</v>
      </c>
      <c r="E57" s="11" t="s">
        <v>51</v>
      </c>
      <c r="F57" s="16">
        <v>79</v>
      </c>
      <c r="G57" s="16">
        <v>65</v>
      </c>
      <c r="H57" s="16">
        <v>73</v>
      </c>
      <c r="I57" s="16">
        <v>70</v>
      </c>
      <c r="J57" s="16">
        <v>81</v>
      </c>
      <c r="K57" s="16"/>
      <c r="L57" s="16"/>
      <c r="M57" s="16"/>
      <c r="N57" s="16"/>
      <c r="O57" s="21">
        <f>AVERAGE(Table13[[#This Row],[APRIL]:[DES]])</f>
        <v>73.599999999999994</v>
      </c>
      <c r="P57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58" spans="1:16" s="12" customFormat="1" ht="15.4" x14ac:dyDescent="0.45">
      <c r="A58" s="20">
        <f t="shared" si="0"/>
        <v>55</v>
      </c>
      <c r="B58" s="13" t="s">
        <v>157</v>
      </c>
      <c r="C58" s="13" t="s">
        <v>86</v>
      </c>
      <c r="D58" s="11" t="s">
        <v>215</v>
      </c>
      <c r="E58" s="11" t="s">
        <v>218</v>
      </c>
      <c r="F58" s="17">
        <v>0</v>
      </c>
      <c r="G58" s="17">
        <v>0</v>
      </c>
      <c r="H58" s="17">
        <v>0</v>
      </c>
      <c r="I58" s="17">
        <v>0</v>
      </c>
      <c r="J58" s="16">
        <v>54</v>
      </c>
      <c r="K58" s="16"/>
      <c r="L58" s="16"/>
      <c r="M58" s="16"/>
      <c r="N58" s="16"/>
      <c r="O58" s="21">
        <f>AVERAGE(Table13[[#This Row],[AGUST]:[DES]])</f>
        <v>54</v>
      </c>
      <c r="P58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59" spans="1:16" s="12" customFormat="1" ht="15.4" x14ac:dyDescent="0.45">
      <c r="A59" s="20">
        <f t="shared" si="0"/>
        <v>56</v>
      </c>
      <c r="B59" s="13" t="s">
        <v>158</v>
      </c>
      <c r="C59" s="13" t="s">
        <v>87</v>
      </c>
      <c r="D59" s="11" t="s">
        <v>59</v>
      </c>
      <c r="E59" s="11" t="s">
        <v>53</v>
      </c>
      <c r="F59" s="17">
        <v>0</v>
      </c>
      <c r="G59" s="16">
        <v>61</v>
      </c>
      <c r="H59" s="16">
        <v>69</v>
      </c>
      <c r="I59" s="16">
        <v>70</v>
      </c>
      <c r="J59" s="16">
        <v>73</v>
      </c>
      <c r="K59" s="11"/>
      <c r="L59" s="11"/>
      <c r="M59" s="11"/>
      <c r="N59" s="11"/>
      <c r="O59" s="21">
        <f>AVERAGE(Table13[[#This Row],[MEI]:[DES]])</f>
        <v>68.25</v>
      </c>
      <c r="P59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60" spans="1:16" s="12" customFormat="1" ht="15.4" x14ac:dyDescent="0.45">
      <c r="A60" s="20">
        <f t="shared" si="0"/>
        <v>57</v>
      </c>
      <c r="B60" s="13" t="s">
        <v>159</v>
      </c>
      <c r="C60" s="10" t="s">
        <v>88</v>
      </c>
      <c r="D60" s="11" t="s">
        <v>216</v>
      </c>
      <c r="E60" s="11" t="s">
        <v>219</v>
      </c>
      <c r="F60" s="16">
        <v>81</v>
      </c>
      <c r="G60" s="16">
        <v>78</v>
      </c>
      <c r="H60" s="16">
        <v>76</v>
      </c>
      <c r="I60" s="16">
        <v>81</v>
      </c>
      <c r="J60" s="16">
        <v>89</v>
      </c>
      <c r="K60" s="16"/>
      <c r="L60" s="11"/>
      <c r="M60" s="11"/>
      <c r="N60" s="11"/>
      <c r="O60" s="21">
        <f>AVERAGE(Table13[[#This Row],[JUNI]:[AGUST]])</f>
        <v>82</v>
      </c>
      <c r="P60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61" spans="1:16" s="12" customFormat="1" ht="15.4" x14ac:dyDescent="0.45">
      <c r="A61" s="20">
        <f t="shared" si="0"/>
        <v>58</v>
      </c>
      <c r="B61" s="13" t="s">
        <v>160</v>
      </c>
      <c r="C61" s="10" t="s">
        <v>89</v>
      </c>
      <c r="D61" s="11" t="s">
        <v>217</v>
      </c>
      <c r="E61" s="11" t="s">
        <v>219</v>
      </c>
      <c r="F61" s="16">
        <v>78</v>
      </c>
      <c r="G61" s="16">
        <v>88</v>
      </c>
      <c r="H61" s="16">
        <v>78</v>
      </c>
      <c r="I61" s="16">
        <v>56</v>
      </c>
      <c r="J61" s="16">
        <v>89</v>
      </c>
      <c r="K61" s="11"/>
      <c r="L61" s="11"/>
      <c r="M61" s="11"/>
      <c r="N61" s="11"/>
      <c r="O61" s="21">
        <f>AVERAGE(Table13[[#This Row],[JUNI]:[AGUST]])</f>
        <v>74.333333333333329</v>
      </c>
      <c r="P61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62" spans="1:16" s="12" customFormat="1" ht="15.4" x14ac:dyDescent="0.45">
      <c r="A62" s="20">
        <f t="shared" si="0"/>
        <v>59</v>
      </c>
      <c r="B62" s="13" t="s">
        <v>161</v>
      </c>
      <c r="C62" s="13" t="s">
        <v>90</v>
      </c>
      <c r="D62" s="11" t="s">
        <v>59</v>
      </c>
      <c r="E62" s="11" t="s">
        <v>54</v>
      </c>
      <c r="F62" s="17">
        <v>0</v>
      </c>
      <c r="G62" s="17">
        <v>0</v>
      </c>
      <c r="H62" s="16">
        <v>68</v>
      </c>
      <c r="I62" s="16">
        <v>70</v>
      </c>
      <c r="J62" s="16">
        <v>81</v>
      </c>
      <c r="K62" s="11"/>
      <c r="L62" s="11"/>
      <c r="M62" s="11"/>
      <c r="N62" s="11"/>
      <c r="O62" s="21">
        <f>AVERAGE(Table13[[#This Row],[JUNI]:[DES]])</f>
        <v>73</v>
      </c>
      <c r="P62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63" spans="1:16" s="12" customFormat="1" ht="15.4" x14ac:dyDescent="0.45">
      <c r="A63" s="20">
        <f t="shared" si="0"/>
        <v>60</v>
      </c>
      <c r="B63" s="13" t="s">
        <v>162</v>
      </c>
      <c r="C63" s="10" t="s">
        <v>91</v>
      </c>
      <c r="D63" s="11" t="s">
        <v>59</v>
      </c>
      <c r="E63" s="11" t="s">
        <v>220</v>
      </c>
      <c r="F63" s="17">
        <v>0</v>
      </c>
      <c r="G63" s="17">
        <v>0</v>
      </c>
      <c r="H63" s="16">
        <v>64</v>
      </c>
      <c r="I63" s="16">
        <v>70</v>
      </c>
      <c r="J63" s="16">
        <v>71</v>
      </c>
      <c r="K63" s="16"/>
      <c r="L63" s="16"/>
      <c r="M63" s="16"/>
      <c r="N63" s="16"/>
      <c r="O63" s="21">
        <f>AVERAGE(Table13[[#This Row],[JUNI]:[DES]])</f>
        <v>68.333333333333329</v>
      </c>
      <c r="P63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64" spans="1:16" s="12" customFormat="1" ht="15.4" x14ac:dyDescent="0.45">
      <c r="A64" s="20">
        <f t="shared" si="0"/>
        <v>61</v>
      </c>
      <c r="B64" s="13" t="s">
        <v>163</v>
      </c>
      <c r="C64" s="10" t="s">
        <v>92</v>
      </c>
      <c r="D64" s="11" t="s">
        <v>203</v>
      </c>
      <c r="E64" s="11" t="s">
        <v>218</v>
      </c>
      <c r="F64" s="17">
        <v>0</v>
      </c>
      <c r="G64" s="17">
        <v>0</v>
      </c>
      <c r="H64" s="17">
        <v>0</v>
      </c>
      <c r="I64" s="17">
        <v>0</v>
      </c>
      <c r="J64" s="16">
        <v>65</v>
      </c>
      <c r="K64" s="11"/>
      <c r="L64" s="11"/>
      <c r="M64" s="11"/>
      <c r="N64" s="11"/>
      <c r="O64" s="21">
        <f>AVERAGE(Table13[[#This Row],[AGUST]:[DES]])</f>
        <v>65</v>
      </c>
      <c r="P64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65" spans="1:16" s="12" customFormat="1" ht="15.4" x14ac:dyDescent="0.45">
      <c r="A65" s="20">
        <f t="shared" si="0"/>
        <v>62</v>
      </c>
      <c r="B65" s="10" t="s">
        <v>164</v>
      </c>
      <c r="C65" s="10" t="s">
        <v>94</v>
      </c>
      <c r="D65" s="11" t="s">
        <v>59</v>
      </c>
      <c r="E65" s="11" t="s">
        <v>97</v>
      </c>
      <c r="F65" s="17">
        <v>0</v>
      </c>
      <c r="G65" s="17">
        <v>0</v>
      </c>
      <c r="H65" s="16">
        <v>55</v>
      </c>
      <c r="I65" s="16">
        <v>73</v>
      </c>
      <c r="J65" s="16">
        <v>59</v>
      </c>
      <c r="K65" s="11"/>
      <c r="L65" s="11"/>
      <c r="M65" s="11"/>
      <c r="N65" s="11"/>
      <c r="O65" s="21">
        <f>AVERAGE(Table13[[#This Row],[JUNI]:[DES]])</f>
        <v>62.333333333333336</v>
      </c>
      <c r="P65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66" spans="1:16" s="12" customFormat="1" ht="15.4" x14ac:dyDescent="0.45">
      <c r="A66" s="20">
        <f t="shared" si="0"/>
        <v>63</v>
      </c>
      <c r="B66" s="10" t="s">
        <v>165</v>
      </c>
      <c r="C66" s="10" t="s">
        <v>31</v>
      </c>
      <c r="D66" s="11" t="s">
        <v>207</v>
      </c>
      <c r="E66" s="11" t="s">
        <v>221</v>
      </c>
      <c r="F66" s="16">
        <v>91</v>
      </c>
      <c r="G66" s="16">
        <v>89</v>
      </c>
      <c r="H66" s="16">
        <v>70</v>
      </c>
      <c r="I66" s="16">
        <v>73</v>
      </c>
      <c r="J66" s="16">
        <v>78</v>
      </c>
      <c r="K66" s="16"/>
      <c r="L66" s="16"/>
      <c r="M66" s="16"/>
      <c r="N66" s="16"/>
      <c r="O66" s="21">
        <f>AVERAGE(Table13[[#This Row],[APRIL]:[DES]])</f>
        <v>80.2</v>
      </c>
      <c r="P66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67" spans="1:16" s="12" customFormat="1" ht="15.4" x14ac:dyDescent="0.45">
      <c r="A67" s="20">
        <f t="shared" si="0"/>
        <v>64</v>
      </c>
      <c r="B67" s="13" t="s">
        <v>166</v>
      </c>
      <c r="C67" s="10" t="s">
        <v>95</v>
      </c>
      <c r="D67" s="11" t="s">
        <v>211</v>
      </c>
      <c r="E67" s="11" t="s">
        <v>218</v>
      </c>
      <c r="F67" s="17">
        <v>0</v>
      </c>
      <c r="G67" s="17">
        <v>0</v>
      </c>
      <c r="H67" s="17">
        <v>0</v>
      </c>
      <c r="I67" s="17">
        <v>0</v>
      </c>
      <c r="J67" s="16">
        <v>46</v>
      </c>
      <c r="K67" s="11"/>
      <c r="L67" s="11"/>
      <c r="M67" s="11"/>
      <c r="N67" s="11"/>
      <c r="O67" s="21">
        <f>AVERAGE(Table13[[#This Row],[AGUST]:[DES]])</f>
        <v>46</v>
      </c>
      <c r="P67" s="16" t="str">
        <f>IF(Table13[[#This Row],[TOTAL SCORE]]&gt;99,"Sangat Baik",IF(Table13[[#This Row],[TOTAL SCORE]]&gt;70,"Baik",IF(Table13[[#This Row],[TOTAL SCORE]]&gt;50,"Cukup",IF(Table13[[#This Row],[TOTAL SCORE]]&gt;30,"Kurang","Kurang"))))</f>
        <v>Kurang</v>
      </c>
    </row>
    <row r="68" spans="1:16" s="12" customFormat="1" ht="15.4" x14ac:dyDescent="0.45">
      <c r="A68" s="20">
        <f t="shared" si="0"/>
        <v>65</v>
      </c>
      <c r="B68" s="10" t="s">
        <v>167</v>
      </c>
      <c r="C68" s="10" t="s">
        <v>96</v>
      </c>
      <c r="D68" s="11" t="s">
        <v>207</v>
      </c>
      <c r="E68" s="11" t="s">
        <v>97</v>
      </c>
      <c r="F68" s="17">
        <v>0</v>
      </c>
      <c r="G68" s="17">
        <v>0</v>
      </c>
      <c r="H68" s="17">
        <v>0</v>
      </c>
      <c r="I68" s="16">
        <v>70</v>
      </c>
      <c r="J68" s="16">
        <v>84</v>
      </c>
      <c r="K68" s="11"/>
      <c r="L68" s="11"/>
      <c r="M68" s="11"/>
      <c r="N68" s="11"/>
      <c r="O68" s="21">
        <f>AVERAGE(Table13[[#This Row],[JULI]:[DES]])</f>
        <v>77</v>
      </c>
      <c r="P68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69" spans="1:16" s="12" customFormat="1" ht="15.4" x14ac:dyDescent="0.45">
      <c r="A69" s="20">
        <f t="shared" ref="A69:A90" si="1">1+A68</f>
        <v>66</v>
      </c>
      <c r="B69" s="13" t="s">
        <v>168</v>
      </c>
      <c r="C69" s="10" t="s">
        <v>169</v>
      </c>
      <c r="D69" s="11" t="s">
        <v>208</v>
      </c>
      <c r="E69" s="11" t="s">
        <v>218</v>
      </c>
      <c r="F69" s="16">
        <v>78</v>
      </c>
      <c r="G69" s="16">
        <v>89</v>
      </c>
      <c r="H69" s="16">
        <v>78</v>
      </c>
      <c r="I69" s="16">
        <v>79</v>
      </c>
      <c r="J69" s="16">
        <v>81</v>
      </c>
      <c r="K69" s="11"/>
      <c r="L69" s="11"/>
      <c r="M69" s="11"/>
      <c r="N69" s="11"/>
      <c r="O69" s="21">
        <f>AVERAGE(Table13[[#This Row],[JUNI]:[AGUST]])</f>
        <v>79.333333333333329</v>
      </c>
      <c r="P69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70" spans="1:16" s="12" customFormat="1" ht="15.4" x14ac:dyDescent="0.45">
      <c r="A70" s="20">
        <f t="shared" si="1"/>
        <v>67</v>
      </c>
      <c r="B70" s="13" t="s">
        <v>170</v>
      </c>
      <c r="C70" s="10" t="s">
        <v>171</v>
      </c>
      <c r="D70" s="11" t="s">
        <v>59</v>
      </c>
      <c r="E70" s="11" t="s">
        <v>220</v>
      </c>
      <c r="F70" s="17">
        <v>0</v>
      </c>
      <c r="G70" s="17">
        <v>0</v>
      </c>
      <c r="H70" s="17">
        <v>0</v>
      </c>
      <c r="I70" s="17">
        <v>0</v>
      </c>
      <c r="J70" s="16">
        <v>70</v>
      </c>
      <c r="K70" s="16"/>
      <c r="L70" s="16"/>
      <c r="M70" s="16"/>
      <c r="N70" s="16"/>
      <c r="O70" s="21">
        <f>AVERAGE(Table13[[#This Row],[AGUST]:[DES]])</f>
        <v>70</v>
      </c>
      <c r="P70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71" spans="1:16" s="12" customFormat="1" ht="15.4" x14ac:dyDescent="0.45">
      <c r="A71" s="20">
        <f t="shared" si="1"/>
        <v>68</v>
      </c>
      <c r="B71" s="10" t="s">
        <v>172</v>
      </c>
      <c r="C71" s="10" t="s">
        <v>93</v>
      </c>
      <c r="D71" s="11" t="s">
        <v>203</v>
      </c>
      <c r="E71" s="11" t="s">
        <v>222</v>
      </c>
      <c r="F71" s="16">
        <v>56</v>
      </c>
      <c r="G71" s="16">
        <v>78</v>
      </c>
      <c r="H71" s="16">
        <v>80</v>
      </c>
      <c r="I71" s="16">
        <v>87</v>
      </c>
      <c r="J71" s="16">
        <v>90</v>
      </c>
      <c r="K71" s="16"/>
      <c r="L71" s="11"/>
      <c r="M71" s="11"/>
      <c r="N71" s="11"/>
      <c r="O71" s="21">
        <f>AVERAGE(Table13[[#This Row],[JUNI]:[AGUST]])</f>
        <v>85.666666666666671</v>
      </c>
      <c r="P71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72" spans="1:16" s="12" customFormat="1" ht="15.4" x14ac:dyDescent="0.45">
      <c r="A72" s="20">
        <f t="shared" si="1"/>
        <v>69</v>
      </c>
      <c r="B72" s="10" t="s">
        <v>173</v>
      </c>
      <c r="C72" s="10" t="s">
        <v>174</v>
      </c>
      <c r="D72" s="11" t="s">
        <v>211</v>
      </c>
      <c r="E72" s="11" t="s">
        <v>218</v>
      </c>
      <c r="F72" s="17">
        <v>0</v>
      </c>
      <c r="G72" s="17">
        <v>0</v>
      </c>
      <c r="H72" s="17">
        <v>0</v>
      </c>
      <c r="I72" s="17">
        <v>0</v>
      </c>
      <c r="J72" s="16">
        <v>67</v>
      </c>
      <c r="K72" s="16"/>
      <c r="L72" s="16"/>
      <c r="M72" s="16"/>
      <c r="N72" s="16"/>
      <c r="O72" s="21">
        <f>AVERAGE(Table13[[#This Row],[AGUST]:[DES]])</f>
        <v>67</v>
      </c>
      <c r="P72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73" spans="1:16" s="12" customFormat="1" ht="15.4" x14ac:dyDescent="0.45">
      <c r="A73" s="20">
        <f t="shared" si="1"/>
        <v>70</v>
      </c>
      <c r="B73" s="10" t="s">
        <v>175</v>
      </c>
      <c r="C73" s="10" t="s">
        <v>176</v>
      </c>
      <c r="D73" s="11" t="s">
        <v>211</v>
      </c>
      <c r="E73" s="11" t="s">
        <v>218</v>
      </c>
      <c r="F73" s="17">
        <v>0</v>
      </c>
      <c r="G73" s="17">
        <v>0</v>
      </c>
      <c r="H73" s="17">
        <v>0</v>
      </c>
      <c r="I73" s="17">
        <v>0</v>
      </c>
      <c r="J73" s="16">
        <v>47</v>
      </c>
      <c r="K73" s="16"/>
      <c r="L73" s="16"/>
      <c r="M73" s="16"/>
      <c r="N73" s="16"/>
      <c r="O73" s="21">
        <f>AVERAGE(Table13[[#This Row],[AGUST]:[DES]])</f>
        <v>47</v>
      </c>
      <c r="P73" s="16" t="str">
        <f>IF(Table13[[#This Row],[TOTAL SCORE]]&gt;99,"Sangat Baik",IF(Table13[[#This Row],[TOTAL SCORE]]&gt;70,"Baik",IF(Table13[[#This Row],[TOTAL SCORE]]&gt;50,"Cukup",IF(Table13[[#This Row],[TOTAL SCORE]]&gt;30,"Kurang","Kurang"))))</f>
        <v>Kurang</v>
      </c>
    </row>
    <row r="74" spans="1:16" s="12" customFormat="1" ht="15.4" x14ac:dyDescent="0.45">
      <c r="A74" s="20">
        <f t="shared" si="1"/>
        <v>71</v>
      </c>
      <c r="B74" s="10" t="s">
        <v>177</v>
      </c>
      <c r="C74" s="10" t="s">
        <v>178</v>
      </c>
      <c r="D74" s="11" t="s">
        <v>211</v>
      </c>
      <c r="E74" s="11" t="s">
        <v>222</v>
      </c>
      <c r="F74" s="17">
        <v>0</v>
      </c>
      <c r="G74" s="17">
        <v>0</v>
      </c>
      <c r="H74" s="17">
        <v>0</v>
      </c>
      <c r="I74" s="17">
        <v>0</v>
      </c>
      <c r="J74" s="16">
        <v>74</v>
      </c>
      <c r="K74" s="16"/>
      <c r="L74" s="16"/>
      <c r="M74" s="16"/>
      <c r="N74" s="16"/>
      <c r="O74" s="21">
        <f>AVERAGE(Table13[[#This Row],[AGUST]:[DES]])</f>
        <v>74</v>
      </c>
      <c r="P74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75" spans="1:16" s="12" customFormat="1" ht="15.4" x14ac:dyDescent="0.45">
      <c r="A75" s="20">
        <f t="shared" si="1"/>
        <v>72</v>
      </c>
      <c r="B75" s="10" t="s">
        <v>179</v>
      </c>
      <c r="C75" s="10" t="s">
        <v>180</v>
      </c>
      <c r="D75" s="11" t="s">
        <v>211</v>
      </c>
      <c r="E75" s="11" t="s">
        <v>218</v>
      </c>
      <c r="F75" s="17">
        <v>0</v>
      </c>
      <c r="G75" s="17">
        <v>0</v>
      </c>
      <c r="H75" s="17">
        <v>0</v>
      </c>
      <c r="I75" s="17">
        <v>0</v>
      </c>
      <c r="J75" s="16">
        <v>54</v>
      </c>
      <c r="K75" s="16"/>
      <c r="L75" s="16"/>
      <c r="M75" s="16"/>
      <c r="N75" s="16"/>
      <c r="O75" s="21">
        <f>AVERAGE(Table13[[#This Row],[AGUST]:[DES]])</f>
        <v>54</v>
      </c>
      <c r="P75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76" spans="1:16" s="12" customFormat="1" ht="15.4" x14ac:dyDescent="0.45">
      <c r="A76" s="20">
        <f t="shared" si="1"/>
        <v>73</v>
      </c>
      <c r="B76" s="13" t="s">
        <v>181</v>
      </c>
      <c r="C76" s="10" t="s">
        <v>182</v>
      </c>
      <c r="D76" s="11" t="s">
        <v>59</v>
      </c>
      <c r="E76" s="11" t="s">
        <v>53</v>
      </c>
      <c r="F76" s="17">
        <v>0</v>
      </c>
      <c r="G76" s="17">
        <v>0</v>
      </c>
      <c r="H76" s="17">
        <v>0</v>
      </c>
      <c r="I76" s="17">
        <v>0</v>
      </c>
      <c r="J76" s="16">
        <v>70</v>
      </c>
      <c r="K76" s="11"/>
      <c r="L76" s="11"/>
      <c r="M76" s="11"/>
      <c r="N76" s="11"/>
      <c r="O76" s="21">
        <f>AVERAGE(Table13[[#This Row],[AGUST]:[DES]])</f>
        <v>70</v>
      </c>
      <c r="P76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77" spans="1:16" s="12" customFormat="1" ht="15.4" x14ac:dyDescent="0.45">
      <c r="A77" s="20">
        <f t="shared" si="1"/>
        <v>74</v>
      </c>
      <c r="B77" s="13" t="s">
        <v>183</v>
      </c>
      <c r="C77" s="10" t="s">
        <v>184</v>
      </c>
      <c r="D77" s="11" t="s">
        <v>59</v>
      </c>
      <c r="E77" s="11" t="s">
        <v>54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1"/>
      <c r="L77" s="11"/>
      <c r="M77" s="11"/>
      <c r="N77" s="11"/>
      <c r="O77" s="21">
        <f>AVERAGE(Table13[[#This Row],[JUNI]:[AGUST]])</f>
        <v>0</v>
      </c>
      <c r="P77" s="16" t="str">
        <f>IF(Table13[[#This Row],[TOTAL SCORE]]&gt;99,"Sangat Baik",IF(Table13[[#This Row],[TOTAL SCORE]]&gt;70,"Baik",IF(Table13[[#This Row],[TOTAL SCORE]]&gt;50,"Cukup",IF(Table13[[#This Row],[TOTAL SCORE]]&gt;30,"Kurang","Kurang"))))</f>
        <v>Kurang</v>
      </c>
    </row>
    <row r="78" spans="1:16" s="12" customFormat="1" ht="15.4" x14ac:dyDescent="0.45">
      <c r="A78" s="20">
        <f t="shared" si="1"/>
        <v>75</v>
      </c>
      <c r="B78" s="13" t="s">
        <v>185</v>
      </c>
      <c r="C78" s="10" t="s">
        <v>40</v>
      </c>
      <c r="D78" s="11" t="s">
        <v>207</v>
      </c>
      <c r="E78" s="11" t="s">
        <v>58</v>
      </c>
      <c r="F78" s="16">
        <v>90</v>
      </c>
      <c r="G78" s="16">
        <v>86</v>
      </c>
      <c r="H78" s="16">
        <v>83</v>
      </c>
      <c r="I78" s="16">
        <v>80</v>
      </c>
      <c r="J78" s="16">
        <v>79</v>
      </c>
      <c r="K78" s="11"/>
      <c r="L78" s="11"/>
      <c r="M78" s="11"/>
      <c r="N78" s="11"/>
      <c r="O78" s="21">
        <f>AVERAGE(Table13[[#This Row],[APRIL]:[DES]])</f>
        <v>83.6</v>
      </c>
      <c r="P78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79" spans="1:16" s="12" customFormat="1" ht="15.4" x14ac:dyDescent="0.45">
      <c r="A79" s="20">
        <f t="shared" si="1"/>
        <v>76</v>
      </c>
      <c r="B79" s="13" t="s">
        <v>186</v>
      </c>
      <c r="C79" s="10" t="s">
        <v>41</v>
      </c>
      <c r="D79" s="11" t="s">
        <v>59</v>
      </c>
      <c r="E79" s="11" t="s">
        <v>58</v>
      </c>
      <c r="F79" s="16">
        <v>69</v>
      </c>
      <c r="G79" s="16">
        <v>74</v>
      </c>
      <c r="H79" s="16">
        <v>76</v>
      </c>
      <c r="I79" s="16">
        <v>73</v>
      </c>
      <c r="J79" s="16">
        <v>83</v>
      </c>
      <c r="K79" s="11"/>
      <c r="L79" s="11"/>
      <c r="M79" s="11"/>
      <c r="N79" s="11"/>
      <c r="O79" s="21">
        <f>AVERAGE(Table13[[#This Row],[APRIL]:[DES]])</f>
        <v>75</v>
      </c>
      <c r="P79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80" spans="1:16" s="12" customFormat="1" ht="15.4" x14ac:dyDescent="0.45">
      <c r="A80" s="20">
        <f t="shared" si="1"/>
        <v>77</v>
      </c>
      <c r="B80" s="13" t="s">
        <v>187</v>
      </c>
      <c r="C80" s="10" t="s">
        <v>43</v>
      </c>
      <c r="D80" s="11" t="s">
        <v>59</v>
      </c>
      <c r="E80" s="11" t="s">
        <v>58</v>
      </c>
      <c r="F80" s="16">
        <v>69</v>
      </c>
      <c r="G80" s="16">
        <v>74</v>
      </c>
      <c r="H80" s="16">
        <v>82</v>
      </c>
      <c r="I80" s="16">
        <v>75</v>
      </c>
      <c r="J80" s="16">
        <v>78</v>
      </c>
      <c r="K80" s="11"/>
      <c r="L80" s="11"/>
      <c r="M80" s="11"/>
      <c r="N80" s="11"/>
      <c r="O80" s="21">
        <f>AVERAGE(Table13[[#This Row],[APRIL]:[DES]])</f>
        <v>75.599999999999994</v>
      </c>
      <c r="P80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81" spans="1:16" s="12" customFormat="1" ht="15.4" x14ac:dyDescent="0.45">
      <c r="A81" s="20">
        <f t="shared" si="1"/>
        <v>78</v>
      </c>
      <c r="B81" s="13" t="s">
        <v>188</v>
      </c>
      <c r="C81" s="10" t="s">
        <v>61</v>
      </c>
      <c r="D81" s="11" t="s">
        <v>207</v>
      </c>
      <c r="E81" s="11" t="s">
        <v>62</v>
      </c>
      <c r="F81" s="17">
        <v>0</v>
      </c>
      <c r="G81" s="17">
        <v>0</v>
      </c>
      <c r="H81" s="16">
        <v>80</v>
      </c>
      <c r="I81" s="16">
        <v>75</v>
      </c>
      <c r="J81" s="16">
        <v>76</v>
      </c>
      <c r="K81" s="11"/>
      <c r="L81" s="11"/>
      <c r="M81" s="11"/>
      <c r="N81" s="11"/>
      <c r="O81" s="21">
        <f>AVERAGE(Table13[[#This Row],[JUNI]:[DES]])</f>
        <v>77</v>
      </c>
      <c r="P81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82" spans="1:16" s="12" customFormat="1" ht="15.4" x14ac:dyDescent="0.45">
      <c r="A82" s="20">
        <f t="shared" si="1"/>
        <v>79</v>
      </c>
      <c r="B82" s="13" t="s">
        <v>189</v>
      </c>
      <c r="C82" s="10" t="s">
        <v>190</v>
      </c>
      <c r="D82" s="11" t="s">
        <v>59</v>
      </c>
      <c r="E82" s="11" t="s">
        <v>62</v>
      </c>
      <c r="F82" s="17">
        <v>0</v>
      </c>
      <c r="G82" s="17">
        <v>0</v>
      </c>
      <c r="H82" s="17">
        <v>0</v>
      </c>
      <c r="I82" s="17">
        <v>0</v>
      </c>
      <c r="J82" s="16">
        <v>78</v>
      </c>
      <c r="K82" s="11"/>
      <c r="L82" s="11"/>
      <c r="M82" s="11"/>
      <c r="N82" s="11"/>
      <c r="O82" s="21">
        <f>AVERAGE(Table13[[#This Row],[AGUST]:[DES]])</f>
        <v>78</v>
      </c>
      <c r="P82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83" spans="1:16" s="12" customFormat="1" ht="15.4" x14ac:dyDescent="0.45">
      <c r="A83" s="20">
        <f t="shared" si="1"/>
        <v>80</v>
      </c>
      <c r="B83" s="13" t="s">
        <v>191</v>
      </c>
      <c r="C83" s="10" t="s">
        <v>42</v>
      </c>
      <c r="D83" s="11" t="s">
        <v>59</v>
      </c>
      <c r="E83" s="11" t="s">
        <v>62</v>
      </c>
      <c r="F83" s="16">
        <v>65</v>
      </c>
      <c r="G83" s="16">
        <v>82</v>
      </c>
      <c r="H83" s="16">
        <v>79</v>
      </c>
      <c r="I83" s="16">
        <v>73</v>
      </c>
      <c r="J83" s="16">
        <v>85</v>
      </c>
      <c r="K83" s="11"/>
      <c r="L83" s="11"/>
      <c r="M83" s="11"/>
      <c r="N83" s="11"/>
      <c r="O83" s="21">
        <f>AVERAGE(Table13[[#This Row],[APRIL]:[DES]])</f>
        <v>76.8</v>
      </c>
      <c r="P83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84" spans="1:16" s="12" customFormat="1" ht="15.4" x14ac:dyDescent="0.45">
      <c r="A84" s="20">
        <f t="shared" si="1"/>
        <v>81</v>
      </c>
      <c r="B84" s="13" t="s">
        <v>192</v>
      </c>
      <c r="C84" s="13" t="s">
        <v>193</v>
      </c>
      <c r="D84" s="11" t="s">
        <v>59</v>
      </c>
      <c r="E84" s="11" t="s">
        <v>98</v>
      </c>
      <c r="F84" s="17">
        <v>0</v>
      </c>
      <c r="G84" s="16">
        <v>62</v>
      </c>
      <c r="H84" s="16">
        <v>65</v>
      </c>
      <c r="I84" s="16">
        <v>71</v>
      </c>
      <c r="J84" s="16">
        <v>60</v>
      </c>
      <c r="K84" s="11"/>
      <c r="L84" s="11"/>
      <c r="M84" s="11"/>
      <c r="N84" s="11"/>
      <c r="O84" s="21">
        <f>AVERAGE(Table13[[#This Row],[MEI]:[DES]])</f>
        <v>64.5</v>
      </c>
      <c r="P84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85" spans="1:16" s="12" customFormat="1" ht="15.4" x14ac:dyDescent="0.45">
      <c r="A85" s="20">
        <f t="shared" si="1"/>
        <v>82</v>
      </c>
      <c r="B85" s="13" t="s">
        <v>194</v>
      </c>
      <c r="C85" s="10" t="s">
        <v>85</v>
      </c>
      <c r="D85" s="11" t="s">
        <v>59</v>
      </c>
      <c r="E85" s="11" t="s">
        <v>98</v>
      </c>
      <c r="F85" s="17">
        <v>0</v>
      </c>
      <c r="G85" s="16">
        <v>55</v>
      </c>
      <c r="H85" s="16">
        <v>57</v>
      </c>
      <c r="I85" s="16">
        <v>68</v>
      </c>
      <c r="J85" s="16">
        <v>55</v>
      </c>
      <c r="K85" s="11"/>
      <c r="L85" s="11"/>
      <c r="M85" s="11"/>
      <c r="N85" s="11"/>
      <c r="O85" s="21">
        <f>AVERAGE(Table13[[#This Row],[MEI]:[DES]])</f>
        <v>58.75</v>
      </c>
      <c r="P85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86" spans="1:16" s="12" customFormat="1" ht="15.4" x14ac:dyDescent="0.45">
      <c r="A86" s="20">
        <f t="shared" si="1"/>
        <v>83</v>
      </c>
      <c r="B86" s="13" t="s">
        <v>195</v>
      </c>
      <c r="C86" s="10" t="s">
        <v>25</v>
      </c>
      <c r="D86" s="11" t="s">
        <v>59</v>
      </c>
      <c r="E86" s="11" t="s">
        <v>98</v>
      </c>
      <c r="F86" s="16">
        <v>85</v>
      </c>
      <c r="G86" s="16">
        <v>68</v>
      </c>
      <c r="H86" s="16">
        <v>56</v>
      </c>
      <c r="I86" s="16">
        <v>67</v>
      </c>
      <c r="J86" s="16">
        <v>56</v>
      </c>
      <c r="K86" s="11"/>
      <c r="L86" s="11"/>
      <c r="M86" s="11"/>
      <c r="N86" s="11"/>
      <c r="O86" s="21">
        <f>AVERAGE(Table13[[#This Row],[APRIL]:[DES]])</f>
        <v>66.400000000000006</v>
      </c>
      <c r="P86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87" spans="1:16" s="12" customFormat="1" ht="15.4" x14ac:dyDescent="0.45">
      <c r="A87" s="20">
        <f t="shared" si="1"/>
        <v>84</v>
      </c>
      <c r="B87" s="13" t="s">
        <v>196</v>
      </c>
      <c r="C87" s="10" t="s">
        <v>197</v>
      </c>
      <c r="D87" s="11" t="s">
        <v>207</v>
      </c>
      <c r="E87" s="11" t="s">
        <v>98</v>
      </c>
      <c r="F87" s="17">
        <v>0</v>
      </c>
      <c r="G87" s="17">
        <v>0</v>
      </c>
      <c r="H87" s="17">
        <v>0</v>
      </c>
      <c r="I87" s="17">
        <v>0</v>
      </c>
      <c r="J87" s="16">
        <v>81</v>
      </c>
      <c r="K87" s="11"/>
      <c r="L87" s="11"/>
      <c r="M87" s="11"/>
      <c r="N87" s="11"/>
      <c r="O87" s="21">
        <f>AVERAGE(Table13[[#This Row],[AGUST]:[DES]])</f>
        <v>81</v>
      </c>
      <c r="P87" s="16" t="str">
        <f>IF(Table13[[#This Row],[TOTAL SCORE]]&gt;99,"Sangat Baik",IF(Table13[[#This Row],[TOTAL SCORE]]&gt;70,"Baik",IF(Table13[[#This Row],[TOTAL SCORE]]&gt;50,"Cukup",IF(Table13[[#This Row],[TOTAL SCORE]]&gt;30,"Kurang","Kurang"))))</f>
        <v>Baik</v>
      </c>
    </row>
    <row r="88" spans="1:16" s="12" customFormat="1" ht="15.4" x14ac:dyDescent="0.45">
      <c r="A88" s="20">
        <f t="shared" si="1"/>
        <v>85</v>
      </c>
      <c r="B88" s="13" t="s">
        <v>198</v>
      </c>
      <c r="C88" s="10" t="s">
        <v>50</v>
      </c>
      <c r="D88" s="11" t="s">
        <v>207</v>
      </c>
      <c r="E88" s="11" t="s">
        <v>99</v>
      </c>
      <c r="F88" s="16">
        <v>51</v>
      </c>
      <c r="G88" s="16">
        <v>69</v>
      </c>
      <c r="H88" s="16">
        <v>42</v>
      </c>
      <c r="I88" s="16">
        <v>70</v>
      </c>
      <c r="J88" s="16"/>
      <c r="K88" s="11"/>
      <c r="L88" s="11"/>
      <c r="M88" s="11"/>
      <c r="N88" s="11"/>
      <c r="O88" s="21">
        <f>AVERAGE(Table13[[#This Row],[APRIL]:[DES]])</f>
        <v>58</v>
      </c>
      <c r="P88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89" spans="1:16" s="12" customFormat="1" ht="15.4" x14ac:dyDescent="0.45">
      <c r="A89" s="20">
        <f t="shared" si="1"/>
        <v>86</v>
      </c>
      <c r="B89" s="13" t="s">
        <v>199</v>
      </c>
      <c r="C89" s="10" t="s">
        <v>49</v>
      </c>
      <c r="D89" s="11" t="s">
        <v>59</v>
      </c>
      <c r="E89" s="11" t="s">
        <v>99</v>
      </c>
      <c r="F89" s="16">
        <v>53</v>
      </c>
      <c r="G89" s="16">
        <v>52</v>
      </c>
      <c r="H89" s="16">
        <v>55</v>
      </c>
      <c r="I89" s="16">
        <v>53</v>
      </c>
      <c r="J89" s="16">
        <v>42</v>
      </c>
      <c r="K89" s="11"/>
      <c r="L89" s="11"/>
      <c r="M89" s="11"/>
      <c r="N89" s="11"/>
      <c r="O89" s="21">
        <f>AVERAGE(Table13[[#This Row],[APRIL]:[DES]])</f>
        <v>51</v>
      </c>
      <c r="P89" s="16" t="str">
        <f>IF(Table13[[#This Row],[TOTAL SCORE]]&gt;99,"Sangat Baik",IF(Table13[[#This Row],[TOTAL SCORE]]&gt;70,"Baik",IF(Table13[[#This Row],[TOTAL SCORE]]&gt;50,"Cukup",IF(Table13[[#This Row],[TOTAL SCORE]]&gt;30,"Kurang","Kurang"))))</f>
        <v>Cukup</v>
      </c>
    </row>
    <row r="90" spans="1:16" s="12" customFormat="1" ht="15.4" x14ac:dyDescent="0.45">
      <c r="A90" s="20">
        <f t="shared" si="1"/>
        <v>87</v>
      </c>
      <c r="B90" s="13" t="s">
        <v>200</v>
      </c>
      <c r="C90" s="10" t="s">
        <v>201</v>
      </c>
      <c r="D90" s="11" t="s">
        <v>59</v>
      </c>
      <c r="E90" s="11" t="s">
        <v>99</v>
      </c>
      <c r="F90" s="17"/>
      <c r="G90" s="17"/>
      <c r="H90" s="17"/>
      <c r="I90" s="17"/>
      <c r="J90" s="16">
        <v>43</v>
      </c>
      <c r="K90" s="11"/>
      <c r="L90" s="11"/>
      <c r="M90" s="11"/>
      <c r="N90" s="11"/>
      <c r="O90" s="21">
        <f>AVERAGE(Table13[[#This Row],[AGUST]:[DES]])</f>
        <v>43</v>
      </c>
      <c r="P90" s="16" t="str">
        <f>IF(Table13[[#This Row],[TOTAL SCORE]]&gt;99,"Sangat Baik",IF(Table13[[#This Row],[TOTAL SCORE]]&gt;70,"Baik",IF(Table13[[#This Row],[TOTAL SCORE]]&gt;50,"Cukup",IF(Table13[[#This Row],[TOTAL SCORE]]&gt;30,"Kurang","Kurang"))))</f>
        <v>Kurang</v>
      </c>
    </row>
    <row r="93" spans="1:16" ht="17.649999999999999" x14ac:dyDescent="0.45">
      <c r="B93" s="27" t="s">
        <v>227</v>
      </c>
      <c r="C93" s="28"/>
    </row>
    <row r="94" spans="1:16" ht="14.25" x14ac:dyDescent="0.4">
      <c r="B94" s="26" t="s">
        <v>228</v>
      </c>
      <c r="C94" s="26" t="s">
        <v>229</v>
      </c>
    </row>
    <row r="95" spans="1:16" ht="14.25" x14ac:dyDescent="0.4">
      <c r="B95" s="24" t="s">
        <v>230</v>
      </c>
      <c r="C95" s="25" t="s">
        <v>231</v>
      </c>
    </row>
    <row r="96" spans="1:16" ht="14.25" x14ac:dyDescent="0.4">
      <c r="B96" s="24" t="s">
        <v>232</v>
      </c>
      <c r="C96" s="25" t="s">
        <v>233</v>
      </c>
    </row>
    <row r="97" spans="2:3" ht="14.25" x14ac:dyDescent="0.4">
      <c r="B97" s="24" t="s">
        <v>234</v>
      </c>
      <c r="C97" s="25" t="s">
        <v>235</v>
      </c>
    </row>
    <row r="98" spans="2:3" ht="14.25" x14ac:dyDescent="0.4">
      <c r="B98" s="24" t="s">
        <v>236</v>
      </c>
      <c r="C98" s="25" t="s">
        <v>237</v>
      </c>
    </row>
    <row r="99" spans="2:3" ht="14.25" x14ac:dyDescent="0.4">
      <c r="B99" s="24" t="s">
        <v>238</v>
      </c>
      <c r="C99" s="25" t="s">
        <v>239</v>
      </c>
    </row>
    <row r="100" spans="2:3" ht="14.25" x14ac:dyDescent="0.4">
      <c r="B100" s="24" t="s">
        <v>240</v>
      </c>
      <c r="C100" s="25" t="s">
        <v>241</v>
      </c>
    </row>
    <row r="102" spans="2:3" x14ac:dyDescent="0.4">
      <c r="B102" s="29" t="s">
        <v>242</v>
      </c>
    </row>
  </sheetData>
  <mergeCells count="2">
    <mergeCell ref="A2:P2"/>
    <mergeCell ref="A1:P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REPORT NILAI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Tipsy Tales</dc:creator>
  <cp:lastModifiedBy>Nisa Sayyidah</cp:lastModifiedBy>
  <dcterms:created xsi:type="dcterms:W3CDTF">2025-05-09T17:12:13Z</dcterms:created>
  <dcterms:modified xsi:type="dcterms:W3CDTF">2025-11-16T07:51:21Z</dcterms:modified>
</cp:coreProperties>
</file>